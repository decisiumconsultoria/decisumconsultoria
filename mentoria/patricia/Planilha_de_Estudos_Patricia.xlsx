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Grade semanal" sheetId="2" state="visible" r:id="rId4"/>
    <sheet name="Cronograma" sheetId="3" state="visible" r:id="rId5"/>
    <sheet name="Checklist semanal" sheetId="4" state="visible" r:id="rId6"/>
    <sheet name="Edital" sheetId="5" state="visible" r:id="rId7"/>
    <sheet name="Registro diário" sheetId="6" state="visible" r:id="rId8"/>
    <sheet name="Painel semanal" sheetId="7" state="visible" r:id="rId9"/>
    <sheet name="Caderno de erros" sheetId="8" state="visible" r:id="rId10"/>
    <sheet name="Simulados" sheetId="9" state="visible" r:id="rId11"/>
    <sheet name="TAF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Linha de exemplo: mostra o formato. Os seus registros começam na linha 6.</t>
        </r>
      </text>
    </comment>
  </commentList>
</comments>
</file>

<file path=xl/sharedStrings.xml><?xml version="1.0" encoding="utf-8"?>
<sst xmlns="http://schemas.openxmlformats.org/spreadsheetml/2006/main" count="804" uniqueCount="463">
  <si>
    <t xml:space="preserve">Planilha de estudos · Patrícia de Miranda Oliveira</t>
  </si>
  <si>
    <t xml:space="preserve">Perito Legista PCERJ · 2h por dia · 26 semanas (02/11/2026 a 02/05/2027) · base: Edital nº 05/2021</t>
  </si>
  <si>
    <t xml:space="preserve">LEGENDA</t>
  </si>
  <si>
    <t xml:space="preserve">Células AMARELAS = você preenche. Todo o resto é calculado sozinho (não apague fórmulas).</t>
  </si>
  <si>
    <t xml:space="preserve">ROTINA DE USO</t>
  </si>
  <si>
    <t xml:space="preserve">1. Todo dia, ao terminar o estudo (2 min): aba 'Registro diário' → uma linha por bloco (data, disciplina, código do tópico, atividade, minutos, questões, acertos).</t>
  </si>
  <si>
    <t xml:space="preserve">2. Ao terminar a teoria de um tópico: aba 'Edital' → marque 'Teoria concluída = Sim' e a data do 1º estudo. As datas das revisões (24h, 7 e 30 dias) aparecem sozinhas.</t>
  </si>
  <si>
    <t xml:space="preserve">3. Errou uma questão importante ou chutou e acertou: aba 'Caderno de erros' → uma linha. A data de revisão aparece sozinha.</t>
  </si>
  <si>
    <t xml:space="preserve">4. Domingo, no bloco de revisão: abra 'Painel semanal' e leia a coluna ALERTA da semana. Faça as revisões marcadas como PENDENTE na aba 'Edital'. Marque o status da semana na aba 'Cronograma'.</t>
  </si>
  <si>
    <t xml:space="preserve">5. Simulados: aba 'Simulados'. Teste físico: aba 'TAF'. Ao fim de cada dia: marque os blocos feitos na aba 'Checklist semanal'.</t>
  </si>
  <si>
    <t xml:space="preserve">ABAS</t>
  </si>
  <si>
    <t xml:space="preserve">Grade semanal — horários fixos de cada dia (07h–09h).</t>
  </si>
  <si>
    <t xml:space="preserve">Cronograma — o que estudar em cada uma das 26 semanas, metas de questões, revisões e simulados.</t>
  </si>
  <si>
    <t xml:space="preserve">Checklist semanal — marque cada bloco feito, os flashcards e o ritual de domingo. Substitui a folha impressa.</t>
  </si>
  <si>
    <t xml:space="preserve">Edital — os 51 tópicos do edital com checklist, datas de revisão, questões e % de acerto por tópico.</t>
  </si>
  <si>
    <t xml:space="preserve">Registro diário — seu diário de estudo. É daqui que saem todos os números do painel.</t>
  </si>
  <si>
    <t xml:space="preserve">Painel semanal — horas planejadas x executadas, questões, acerto por disciplina, % do edital e alertas.</t>
  </si>
  <si>
    <t xml:space="preserve">Caderno de erros — registro e revisão dos erros.</t>
  </si>
  <si>
    <t xml:space="preserve">Simulados — notas por módulo e checagem do mínimo de 50% em cada módulo.</t>
  </si>
  <si>
    <t xml:space="preserve">TAF — evolução nos 4 testes físicos (índices femininos do edital de 2021).</t>
  </si>
  <si>
    <t xml:space="preserve">REGRAS DE AJUSTE (o painel avisa)</t>
  </si>
  <si>
    <t xml:space="preserve">• Executou menos de 80% das horas planejadas por 2 semanas seguidas → o plano está acima da rotina real: converse com a mentora para reduzir, em vez de acumular.</t>
  </si>
  <si>
    <t xml:space="preserve">• Uma disciplina com acerto abaixo de 60% → ela ganha 1 bloco por 2 semanas, tirado da disciplina com melhor acerto (Medicina Legal nunca perde bloco).</t>
  </si>
  <si>
    <t xml:space="preserve">• Revisões pendentes há mais de 1 semana → o próximo bloco de domingo é só revisão.</t>
  </si>
  <si>
    <t xml:space="preserve">Os tópicos seguem o Anexo I do edital de 2021. Quando sair o novo edital, a mentora atualiza a aba 'Edital'.</t>
  </si>
  <si>
    <t xml:space="preserve">Dúvidas sobre COMO estudar (blocos, revisões, simulados, atrasos, checklists): consulte o GUIA DA ALUNA (PDF). Esta planilha e o guia são os únicos materiais da mentoria.</t>
  </si>
  <si>
    <t xml:space="preserve">Grade semanal · 2h por dia (2 blocos de 1h)</t>
  </si>
  <si>
    <t xml:space="preserve">Cada bloco começa com 10 min de revisão de 24h da mesma matéria (escrever de memória 5 pontos do conteúdo anterior).</t>
  </si>
  <si>
    <t xml:space="preserve">Dia</t>
  </si>
  <si>
    <t xml:space="preserve">Bloco</t>
  </si>
  <si>
    <t xml:space="preserve">Horário</t>
  </si>
  <si>
    <t xml:space="preserve">Disciplina</t>
  </si>
  <si>
    <t xml:space="preserve">Atividade (Fase 1 · S1–S20)</t>
  </si>
  <si>
    <t xml:space="preserve">Atividade (Fase 2 · S21–S25)</t>
  </si>
  <si>
    <t xml:space="preserve">Segunda</t>
  </si>
  <si>
    <t xml:space="preserve">1</t>
  </si>
  <si>
    <t xml:space="preserve">07:00–08:00</t>
  </si>
  <si>
    <t xml:space="preserve">Medicina Legal</t>
  </si>
  <si>
    <t xml:space="preserve">Teoria do tópico da semana</t>
  </si>
  <si>
    <t xml:space="preserve">Correção do simulado / questões ML</t>
  </si>
  <si>
    <t xml:space="preserve">2</t>
  </si>
  <si>
    <t xml:space="preserve">08:00–09:00</t>
  </si>
  <si>
    <t xml:space="preserve">Questões do tópico + resumo</t>
  </si>
  <si>
    <t xml:space="preserve">Questões ML</t>
  </si>
  <si>
    <t xml:space="preserve">Terça</t>
  </si>
  <si>
    <t xml:space="preserve">—</t>
  </si>
  <si>
    <t xml:space="preserve">Plantão</t>
  </si>
  <si>
    <t xml:space="preserve">Sem estudo</t>
  </si>
  <si>
    <t xml:space="preserve">Quarta</t>
  </si>
  <si>
    <t xml:space="preserve">Português</t>
  </si>
  <si>
    <t xml:space="preserve">Teoria + questões</t>
  </si>
  <si>
    <t xml:space="preserve">Questões Português</t>
  </si>
  <si>
    <t xml:space="preserve">Direito</t>
  </si>
  <si>
    <t xml:space="preserve">Teoria resumida + lei seca</t>
  </si>
  <si>
    <t xml:space="preserve">Lei seca + questões Direito</t>
  </si>
  <si>
    <t xml:space="preserve">Quinta</t>
  </si>
  <si>
    <t xml:space="preserve">Teoria (continuação)</t>
  </si>
  <si>
    <t xml:space="preserve">Teoria dirigida aos erros de ML</t>
  </si>
  <si>
    <t xml:space="preserve">Questões FGV</t>
  </si>
  <si>
    <t xml:space="preserve">Sexta</t>
  </si>
  <si>
    <t xml:space="preserve">Questões + flashcards</t>
  </si>
  <si>
    <t xml:space="preserve">Questões</t>
  </si>
  <si>
    <t xml:space="preserve">Questões Direito</t>
  </si>
  <si>
    <t xml:space="preserve">Sábado</t>
  </si>
  <si>
    <t xml:space="preserve">Domingo</t>
  </si>
  <si>
    <t xml:space="preserve">Interpretação de textos FGV</t>
  </si>
  <si>
    <t xml:space="preserve">Interpretação FGV (ou simulado 07h–12h)</t>
  </si>
  <si>
    <t xml:space="preserve">Revisão</t>
  </si>
  <si>
    <t xml:space="preserve">Revisão de 7 e 30 dias, caderno de erros, painel</t>
  </si>
  <si>
    <t xml:space="preserve">Revisão + painel (ou simulado)</t>
  </si>
  <si>
    <t xml:space="preserve">Total: Medicina Legal 4h · Português 3h · Direito 2h · Revisão 1h = 10h por semana.</t>
  </si>
  <si>
    <t xml:space="preserve">Semanas de simulado (S21, S23, S25): o domingo vira simulado de 100 questões das 07h às 12h (duração real da prova).</t>
  </si>
  <si>
    <t xml:space="preserve">Semanas de recuperação (S8 Natal, S15 Carnaval): carga reduzida (≈5h), só revisão e atrasos.</t>
  </si>
  <si>
    <t xml:space="preserve">Cronograma · 26 semanas</t>
  </si>
  <si>
    <t xml:space="preserve">Status e Observações são seus (amarelo). Os códigos (ML01, PT01, DI01…) são os mesmos da aba Edital.</t>
  </si>
  <si>
    <t xml:space="preserve">Semana</t>
  </si>
  <si>
    <t xml:space="preserve">Datas</t>
  </si>
  <si>
    <t xml:space="preserve">Fase</t>
  </si>
  <si>
    <t xml:space="preserve">Meta de questões</t>
  </si>
  <si>
    <t xml:space="preserve">Horas plan.</t>
  </si>
  <si>
    <t xml:space="preserve">Revisão 30 dias</t>
  </si>
  <si>
    <t xml:space="preserve">Simulado / TAF</t>
  </si>
  <si>
    <t xml:space="preserve">Resultado esperado</t>
  </si>
  <si>
    <t xml:space="preserve">Status</t>
  </si>
  <si>
    <t xml:space="preserve">Observações</t>
  </si>
  <si>
    <t xml:space="preserve">S1</t>
  </si>
  <si>
    <t xml:space="preserve">02/11–08/11/26</t>
  </si>
  <si>
    <t xml:space="preserve">1 · Base</t>
  </si>
  <si>
    <t xml:space="preserve">ML01 · Normas éticas x jurídicas; processo e provas; fatos duradouros e perícias; conceitos, história e divisões da Medicina Legal; perícias médicas e documentos médico-legais</t>
  </si>
  <si>
    <t xml:space="preserve">PT01 · Texto: gêneros (literário e não literário), tipologia (narrativo, descritivo, argumentativo), interpretação e organização interna</t>
  </si>
  <si>
    <t xml:space="preserve">DI01 · Constitucional: supremacia da Constituição; direitos e deveres individuais e coletivos (art. 5º, parte 1)</t>
  </si>
  <si>
    <t xml:space="preserve">50 (ML 25 · Port 15 · Dir 10)</t>
  </si>
  <si>
    <t xml:space="preserve">Conhece os documentos médico-legais e o método de estudo está rodando</t>
  </si>
  <si>
    <t xml:space="preserve">S2</t>
  </si>
  <si>
    <t xml:space="preserve">09/11–15/11/26</t>
  </si>
  <si>
    <t xml:space="preserve">ML02 · Identidade e identificação; métodos de identificação nos vivos e em cadáveres</t>
  </si>
  <si>
    <t xml:space="preserve">PT02 · Ortografia e acentuação gráfica</t>
  </si>
  <si>
    <t xml:space="preserve">DI02 · Constitucional: art. 5º, parte 2 (incl. remédios constitucionais)</t>
  </si>
  <si>
    <t xml:space="preserve">Tópicos da semana com teoria, questões e resumo feitos</t>
  </si>
  <si>
    <t xml:space="preserve">S3</t>
  </si>
  <si>
    <t xml:space="preserve">16/11–22/11/26</t>
  </si>
  <si>
    <t xml:space="preserve">ML03 · Antropologia Forense: sexo, idade, estatura e ancestralidade</t>
  </si>
  <si>
    <t xml:space="preserve">PT03 · Morfologia I: substantivo, adjetivo, artigo, numeral e pronome</t>
  </si>
  <si>
    <t xml:space="preserve">DI03 · Constitucional: Administração Pública e servidores públicos civis (arts. 37–41)</t>
  </si>
  <si>
    <t xml:space="preserve">Fecha a parte de identificação e antropologia</t>
  </si>
  <si>
    <t xml:space="preserve">S4</t>
  </si>
  <si>
    <t xml:space="preserve">23/11–29/11/26</t>
  </si>
  <si>
    <t xml:space="preserve">ML04 · Traumatologia I: conceitos de trauma e lesão; consequências jurídicas dos traumas; agentes mecânicos (contundentes, cortantes, perfurantes e mistos)</t>
  </si>
  <si>
    <t xml:space="preserve">PT04 · Morfologia II: verbo — flexão e emprego de tempos e modos</t>
  </si>
  <si>
    <t xml:space="preserve">DI04 · Constitucional: Poder Executivo (forma e sistema de governo, chefias); Segurança Pública na CF e na Constituição do RJ; Ordem social</t>
  </si>
  <si>
    <t xml:space="preserve">Teste físico (TAF)</t>
  </si>
  <si>
    <t xml:space="preserve">Fecha Constitucional na 1ª leitura</t>
  </si>
  <si>
    <t xml:space="preserve">S5</t>
  </si>
  <si>
    <t xml:space="preserve">30/11–06/12/26</t>
  </si>
  <si>
    <t xml:space="preserve">ML05 · Traumatologia II: armas de fogo (agentes perfurocontundentes)</t>
  </si>
  <si>
    <t xml:space="preserve">PT05 · Advérbio, preposição e conjunção; processos de formação de palavras</t>
  </si>
  <si>
    <t xml:space="preserve">DI05 · Penal: fato típico; dolo e culpa; consumação e tentativa; crime impossível</t>
  </si>
  <si>
    <t xml:space="preserve">S6</t>
  </si>
  <si>
    <t xml:space="preserve">07/12–13/12/26</t>
  </si>
  <si>
    <t xml:space="preserve">ML06 · Traumatologia III: agentes físicos, químicos e outros vulnerantes; idade da lesão e reação vital</t>
  </si>
  <si>
    <t xml:space="preserve">PT06 · Semântica: sentido e emprego dos vocábulos; campos semânticos</t>
  </si>
  <si>
    <t xml:space="preserve">DI06 · Penal: inimputabilidade penal; medidas de segurança; crimes contra a pessoa (parte 1)</t>
  </si>
  <si>
    <t xml:space="preserve">Fecha Traumatologia</t>
  </si>
  <si>
    <t xml:space="preserve">S7</t>
  </si>
  <si>
    <t xml:space="preserve">14/12–20/12/26</t>
  </si>
  <si>
    <t xml:space="preserve">ML07 · Asfixiologia I: conceito e classificação etiológica; sufocação direta e indireta; enforcamento, estrangulamento e esganadura</t>
  </si>
  <si>
    <t xml:space="preserve">PT07 · Sintaxe I: frase, oração e período; termos da oração</t>
  </si>
  <si>
    <t xml:space="preserve">DI07 · Penal: crimes contra a pessoa (parte 2); crimes contra a liberdade individual</t>
  </si>
  <si>
    <t xml:space="preserve">Fecha Penal parte geral</t>
  </si>
  <si>
    <t xml:space="preserve">S8</t>
  </si>
  <si>
    <t xml:space="preserve">21/12–27/12/26</t>
  </si>
  <si>
    <t xml:space="preserve">Semana de recuperação (Natal): carga reduzida (≈5h). Sem conteúdo novo: pôr atrasos em dia, revisão de 30 dias de S1–S7, flashcards e caderno de erros.</t>
  </si>
  <si>
    <t xml:space="preserve">30 (livre (revisão))</t>
  </si>
  <si>
    <t xml:space="preserve">S9</t>
  </si>
  <si>
    <t xml:space="preserve">28/12–03/01/27</t>
  </si>
  <si>
    <t xml:space="preserve">ML08 · Asfixiologia II: confinamento, soterramento e afogamento</t>
  </si>
  <si>
    <t xml:space="preserve">PT08 · Sintaxe II: processos de coordenação e subordinação</t>
  </si>
  <si>
    <t xml:space="preserve">DI08 · Penal: crimes contra a dignidade sexual; crimes contra a administração pública</t>
  </si>
  <si>
    <t xml:space="preserve">70 (ML 35 · Port 20 · Dir 15)</t>
  </si>
  <si>
    <t xml:space="preserve">Fecha Asfixiologia</t>
  </si>
  <si>
    <t xml:space="preserve">S10</t>
  </si>
  <si>
    <t xml:space="preserve">04/01–10/01/27</t>
  </si>
  <si>
    <t xml:space="preserve">ML09 · Tanatologia I: diagnóstico da morte e consequências jurídicas; conceito moderno de morte e doação de órgãos; causa jurídica da morte (natural, violenta, suspeita, súbita)</t>
  </si>
  <si>
    <t xml:space="preserve">PT09 · Concordância nominal e verbal</t>
  </si>
  <si>
    <t xml:space="preserve">DI09 · Proc. Penal: garantias constitucionais; inquérito policial; polícia judiciária; diligências; auto de resistência; algemas (Lei 13.434/2017 e LEP)</t>
  </si>
  <si>
    <t xml:space="preserve">S11</t>
  </si>
  <si>
    <t xml:space="preserve">11/01–17/01/27</t>
  </si>
  <si>
    <t xml:space="preserve">ML10 · Tanatologia II: cronotanatognose; fenômenos cadavéricos e estimativa do tempo de morte</t>
  </si>
  <si>
    <t xml:space="preserve">PT10 · Transitividade e regência de nomes e verbos</t>
  </si>
  <si>
    <t xml:space="preserve">DI10 · Proc. Penal: prova pericial; corpo de delito; cadeia de custódia (Lei 13.964/2019); identificação criminal e perfil genético (Leis 12.037/2009 e 12.654/2012)</t>
  </si>
  <si>
    <t xml:space="preserve">Proc. Penal completo; linha do tempo cadavérica sem consulta</t>
  </si>
  <si>
    <t xml:space="preserve">S12</t>
  </si>
  <si>
    <t xml:space="preserve">18/01–24/01/27</t>
  </si>
  <si>
    <t xml:space="preserve">ML11 · Tanatologia III: declaração de óbito; necessidade da necrópsia médico-legal. Infortunística: acidentes do trabalho e doenças profissionais</t>
  </si>
  <si>
    <t xml:space="preserve">PT11 · Emprego do sinal indicativo de crase</t>
  </si>
  <si>
    <t xml:space="preserve">DI11 · Leis especiais: Tortura (9.455/1997); Abuso de autoridade (13.869/2019); Racismo (7.716/1989)</t>
  </si>
  <si>
    <t xml:space="preserve">S13</t>
  </si>
  <si>
    <t xml:space="preserve">25/01–31/01/27</t>
  </si>
  <si>
    <t xml:space="preserve">ML12 · Toxicologia I: cáusticos e venenos; intoxicações exógenas (acidentais, suicidas, criminosas); necrópsia na suspeita de intoxicação; coleta de material toxicológico</t>
  </si>
  <si>
    <t xml:space="preserve">PT12 · Padrões gerais de colocação pronominal</t>
  </si>
  <si>
    <t xml:space="preserve">DI12 · Leis especiais: Drogas (11.343/2006); ECA (8.069/1990)</t>
  </si>
  <si>
    <t xml:space="preserve">Mini-simulado diagnóstico (40 q.) no domingo</t>
  </si>
  <si>
    <t xml:space="preserve">Primeira medida real de desempenho (diagnóstico)</t>
  </si>
  <si>
    <t xml:space="preserve">S14</t>
  </si>
  <si>
    <t xml:space="preserve">01/02–07/02/27</t>
  </si>
  <si>
    <t xml:space="preserve">ML13 · Toxicologia II: estudo médico-legal do abuso de álcool e de outras drogas</t>
  </si>
  <si>
    <t xml:space="preserve">PT13 · Pontuação</t>
  </si>
  <si>
    <t xml:space="preserve">DI13 · Leis especiais: Maria da Penha (11.340/2006) e Sinal Vermelho (13.505/2017, 13.894/2019, 14.188/2021); atendimento policial e pericial especializado; Estatuto do Idoso (10.741/2003); Estatuto da PcD (13.146/2015)</t>
  </si>
  <si>
    <t xml:space="preserve">Fecha Toxicologia e as leis especiais</t>
  </si>
  <si>
    <t xml:space="preserve">S15</t>
  </si>
  <si>
    <t xml:space="preserve">08/02–14/02/27</t>
  </si>
  <si>
    <t xml:space="preserve">Semana de recuperação (Carnaval): carga reduzida (≈5h). Sem conteúdo novo: pôr atrasos em dia, revisão de 30 dias de S9–S14, flashcards e caderno de erros.</t>
  </si>
  <si>
    <t xml:space="preserve">S16</t>
  </si>
  <si>
    <t xml:space="preserve">15/02–21/02/27</t>
  </si>
  <si>
    <t xml:space="preserve">ML14 · Sexologia I: crimes contra a liberdade sexual; conjunção carnal e atos libidinosos; manchas de sêmen; formas de violência nos atos libidinosos</t>
  </si>
  <si>
    <t xml:space="preserve">PT14 · Mecanismos de coesão textual</t>
  </si>
  <si>
    <t xml:space="preserve">DI14 · Administrativo: conceito de Administração Pública; organização administrativa; ato administrativo</t>
  </si>
  <si>
    <t xml:space="preserve">S17</t>
  </si>
  <si>
    <t xml:space="preserve">22/02–28/02/27</t>
  </si>
  <si>
    <t xml:space="preserve">ML15 · Sexologia II: gravidez, parto recente e puerpério; aborto; infanticídio</t>
  </si>
  <si>
    <t xml:space="preserve">PT15 · Reescrita de frases I: substituição e deslocamento</t>
  </si>
  <si>
    <t xml:space="preserve">DI15 · Administrativo: poderes (hierárquico, regulamentar, disciplinar, de polícia); limites do poder de polícia; uso e abuso de poder; agentes públicos; cargo, emprego e função; responsabilidade civil do Estado</t>
  </si>
  <si>
    <t xml:space="preserve">S18</t>
  </si>
  <si>
    <t xml:space="preserve">01/03–07/03/27</t>
  </si>
  <si>
    <t xml:space="preserve">ML16 · Sexologia III: maus-tratos a vulneráveis; contágio venéreo; casamento; filiação por exame de DNA</t>
  </si>
  <si>
    <t xml:space="preserve">PT16 · Reescrita de frases II: paralelismo; variação linguística e norma culta</t>
  </si>
  <si>
    <t xml:space="preserve">DI16 · Estatuto dos Funcionários Públicos Civis do RJ (DL 220/1975) e Regulamento (Dec. 2.479/1979)</t>
  </si>
  <si>
    <t xml:space="preserve">Fecha Sexologia e reescrita</t>
  </si>
  <si>
    <t xml:space="preserve">S19</t>
  </si>
  <si>
    <t xml:space="preserve">08/03–14/03/27</t>
  </si>
  <si>
    <t xml:space="preserve">ML17 · Psiquiatria Forense: imputabilidade penal e capacidade civil</t>
  </si>
  <si>
    <t xml:space="preserve">Bateria de interpretação de textos FGV</t>
  </si>
  <si>
    <t xml:space="preserve">DI17 · Estatuto dos Policiais Civis do RJ (DL 218/1975) e Regulamento (Dec. 3.044/1979)</t>
  </si>
  <si>
    <t xml:space="preserve">Fecha os estatutos do RJ</t>
  </si>
  <si>
    <t xml:space="preserve">S20</t>
  </si>
  <si>
    <t xml:space="preserve">15/03–21/03/27</t>
  </si>
  <si>
    <t xml:space="preserve">ML18 · Diceologia e Deontologia médicas</t>
  </si>
  <si>
    <t xml:space="preserve">Revisão de gramática pelo caderno de erros</t>
  </si>
  <si>
    <t xml:space="preserve">Questões mistas de Direito (todas as áreas)</t>
  </si>
  <si>
    <t xml:space="preserve">1ª leitura de TODO o edital concluída</t>
  </si>
  <si>
    <t xml:space="preserve">S21</t>
  </si>
  <si>
    <t xml:space="preserve">22/03–28/03/27</t>
  </si>
  <si>
    <t xml:space="preserve">2 · Questões e simulados</t>
  </si>
  <si>
    <t xml:space="preserve">Questões: Traumatologia e Asfixiologia (ML04–ML08)</t>
  </si>
  <si>
    <t xml:space="preserve">Questões: interpretação + concordância e regência</t>
  </si>
  <si>
    <t xml:space="preserve">Questões: Constitucional + Penal (DI01–DI08)</t>
  </si>
  <si>
    <t xml:space="preserve">120 (ML 60 · Port 35 · Dir 25)</t>
  </si>
  <si>
    <t xml:space="preserve">Simulado 1 (100 q.) — domingo 07h–12h</t>
  </si>
  <si>
    <t xml:space="preserve">Acima de 60% em cada módulo no Simulado 1</t>
  </si>
  <si>
    <t xml:space="preserve">S22</t>
  </si>
  <si>
    <t xml:space="preserve">29/03–04/04/27</t>
  </si>
  <si>
    <t xml:space="preserve">Questões: Tanatologia, Infortunística e Toxicologia (ML09–ML13)</t>
  </si>
  <si>
    <t xml:space="preserve">Questões: sintaxe, pontuação e crase</t>
  </si>
  <si>
    <t xml:space="preserve">Questões: Processo Penal + leis especiais (DI09–DI13)</t>
  </si>
  <si>
    <t xml:space="preserve">S23</t>
  </si>
  <si>
    <t xml:space="preserve">05/04–11/04/27</t>
  </si>
  <si>
    <t xml:space="preserve">Questões: Sexologia, DNA e Psiquiatria (ML14–ML17)</t>
  </si>
  <si>
    <t xml:space="preserve">Questões: coesão e reescrita</t>
  </si>
  <si>
    <t xml:space="preserve">Questões: Administrativo + estatutos RJ (DI14–DI17)</t>
  </si>
  <si>
    <t xml:space="preserve">Simulado 2 (100 q.) — domingo 07h–12h</t>
  </si>
  <si>
    <t xml:space="preserve">Acima de 65% no geral</t>
  </si>
  <si>
    <t xml:space="preserve">S24</t>
  </si>
  <si>
    <t xml:space="preserve">12/04–18/04/27</t>
  </si>
  <si>
    <t xml:space="preserve">Questões: Identificação, Antropologia, perícias e Deontologia (ML01–ML03, ML18) + tópicos com mais erros</t>
  </si>
  <si>
    <t xml:space="preserve">Questões mistas FGV</t>
  </si>
  <si>
    <t xml:space="preserve">Questões mistas + lei seca dos tópicos com mais erros</t>
  </si>
  <si>
    <t xml:space="preserve">Lista final de pontos fracos atacada</t>
  </si>
  <si>
    <t xml:space="preserve">S25</t>
  </si>
  <si>
    <t xml:space="preserve">19/04–25/04/27</t>
  </si>
  <si>
    <t xml:space="preserve">Revisão final por resumos e flashcards (todo o conteúdo)</t>
  </si>
  <si>
    <t xml:space="preserve">Caderno de erros de Português</t>
  </si>
  <si>
    <t xml:space="preserve">Lei seca: trechos grifados</t>
  </si>
  <si>
    <t xml:space="preserve">Simulado 3 (100 q.) — domingo 07h–12h</t>
  </si>
  <si>
    <t xml:space="preserve">Acima de 70% no geral e de 60% em cada módulo</t>
  </si>
  <si>
    <t xml:space="preserve">S26</t>
  </si>
  <si>
    <t xml:space="preserve">26/04–02/05/27</t>
  </si>
  <si>
    <t xml:space="preserve">3 · Reta final</t>
  </si>
  <si>
    <t xml:space="preserve">Semana pré-prova: nada de conteúdo novo; mini-simulado de 30 q. até quarta; logística da prova; descanso na véspera.</t>
  </si>
  <si>
    <t xml:space="preserve">40 (mini-simulado 30 + revisão)</t>
  </si>
  <si>
    <t xml:space="preserve">Chega à prova descansada</t>
  </si>
  <si>
    <t xml:space="preserve">Total de horas planejadas:</t>
  </si>
  <si>
    <t xml:space="preserve">Checklist semanal · marque ✓ em cada bloco concluído</t>
  </si>
  <si>
    <t xml:space="preserve">Bloco 1 = 07h–08h · Bloco 2 = 08h–09h. Terça e sábado são plantão. Na semana de simulado, os 2 blocos de domingo = simulado.</t>
  </si>
  <si>
    <t xml:space="preserve">Seg B1</t>
  </si>
  <si>
    <t xml:space="preserve">Seg B2</t>
  </si>
  <si>
    <t xml:space="preserve">Qua B1</t>
  </si>
  <si>
    <t xml:space="preserve">Qua B2</t>
  </si>
  <si>
    <t xml:space="preserve">Qui B1</t>
  </si>
  <si>
    <t xml:space="preserve">Qui B2</t>
  </si>
  <si>
    <t xml:space="preserve">Sex B1</t>
  </si>
  <si>
    <t xml:space="preserve">Sex B2</t>
  </si>
  <si>
    <t xml:space="preserve">Dom B1</t>
  </si>
  <si>
    <t xml:space="preserve">Dom B2</t>
  </si>
  <si>
    <t xml:space="preserve">Blocos plan.</t>
  </si>
  <si>
    <t xml:space="preserve">Blocos feitos</t>
  </si>
  <si>
    <t xml:space="preserve">% feito</t>
  </si>
  <si>
    <t xml:space="preserve">Dias com flashcards (0–5)</t>
  </si>
  <si>
    <t xml:space="preserve">Ritual de domingo feito?</t>
  </si>
  <si>
    <t xml:space="preserve">Print enviado à mentora?</t>
  </si>
  <si>
    <t xml:space="preserve">Checklist do edital · 51 tópicos</t>
  </si>
  <si>
    <t xml:space="preserve">Preencha só as colunas amarelas. Revisões vencidas aparecem como PENDENTE.</t>
  </si>
  <si>
    <t xml:space="preserve">Edital concluído</t>
  </si>
  <si>
    <t xml:space="preserve">ML</t>
  </si>
  <si>
    <t xml:space="preserve">Port.</t>
  </si>
  <si>
    <t xml:space="preserve">Dir.</t>
  </si>
  <si>
    <t xml:space="preserve">Revisões pendentes</t>
  </si>
  <si>
    <t xml:space="preserve">Tópicos atrasados</t>
  </si>
  <si>
    <t xml:space="preserve">Código</t>
  </si>
  <si>
    <t xml:space="preserve">Tópico do edital</t>
  </si>
  <si>
    <t xml:space="preserve">Semana prevista</t>
  </si>
  <si>
    <t xml:space="preserve">Teoria concluída?</t>
  </si>
  <si>
    <t xml:space="preserve">Data do 1º estudo</t>
  </si>
  <si>
    <t xml:space="preserve">Rev. 24h</t>
  </si>
  <si>
    <t xml:space="preserve">Rev. 7 dias</t>
  </si>
  <si>
    <t xml:space="preserve">Rev. 30 dias</t>
  </si>
  <si>
    <t xml:space="preserve">Rev. 7d feita?</t>
  </si>
  <si>
    <t xml:space="preserve">Rev. 30d feita?</t>
  </si>
  <si>
    <t xml:space="preserve">Acertos</t>
  </si>
  <si>
    <t xml:space="preserve">% acerto</t>
  </si>
  <si>
    <t xml:space="preserve">ML01</t>
  </si>
  <si>
    <t xml:space="preserve">Normas éticas x jurídicas; processo e provas; fatos duradouros e perícias; conceitos, história e divisões da Medicina Legal; perícias médicas e documentos médico-legais</t>
  </si>
  <si>
    <t xml:space="preserve">ML02</t>
  </si>
  <si>
    <t xml:space="preserve">Identidade e identificação; métodos de identificação nos vivos e em cadáveres</t>
  </si>
  <si>
    <t xml:space="preserve">ML03</t>
  </si>
  <si>
    <t xml:space="preserve">Antropologia Forense: sexo, idade, estatura e ancestralidade</t>
  </si>
  <si>
    <t xml:space="preserve">ML04</t>
  </si>
  <si>
    <t xml:space="preserve">Traumatologia I: conceitos de trauma e lesão; consequências jurídicas dos traumas; agentes mecânicos (contundentes, cortantes, perfurantes e mistos)</t>
  </si>
  <si>
    <t xml:space="preserve">ML05</t>
  </si>
  <si>
    <t xml:space="preserve">Traumatologia II: armas de fogo (agentes perfurocontundentes)</t>
  </si>
  <si>
    <t xml:space="preserve">ML06</t>
  </si>
  <si>
    <t xml:space="preserve">Traumatologia III: agentes físicos, químicos e outros vulnerantes; idade da lesão e reação vital</t>
  </si>
  <si>
    <t xml:space="preserve">ML07</t>
  </si>
  <si>
    <t xml:space="preserve">Asfixiologia I: conceito e classificação etiológica; sufocação direta e indireta; enforcamento, estrangulamento e esganadura</t>
  </si>
  <si>
    <t xml:space="preserve">ML08</t>
  </si>
  <si>
    <t xml:space="preserve">Asfixiologia II: confinamento, soterramento e afogamento</t>
  </si>
  <si>
    <t xml:space="preserve">ML09</t>
  </si>
  <si>
    <t xml:space="preserve">Tanatologia I: diagnóstico da morte e consequências jurídicas; conceito moderno de morte e doação de órgãos; causa jurídica da morte (natural, violenta, suspeita, súbita)</t>
  </si>
  <si>
    <t xml:space="preserve">ML10</t>
  </si>
  <si>
    <t xml:space="preserve">Tanatologia II: cronotanatognose; fenômenos cadavéricos e estimativa do tempo de morte</t>
  </si>
  <si>
    <t xml:space="preserve">ML11</t>
  </si>
  <si>
    <t xml:space="preserve">Tanatologia III: declaração de óbito; necessidade da necrópsia médico-legal. Infortunística: acidentes do trabalho e doenças profissionais</t>
  </si>
  <si>
    <t xml:space="preserve">ML12</t>
  </si>
  <si>
    <t xml:space="preserve">Toxicologia I: cáusticos e venenos; intoxicações exógenas (acidentais, suicidas, criminosas); necrópsia na suspeita de intoxicação; coleta de material toxicológico</t>
  </si>
  <si>
    <t xml:space="preserve">ML13</t>
  </si>
  <si>
    <t xml:space="preserve">Toxicologia II: estudo médico-legal do abuso de álcool e de outras drogas</t>
  </si>
  <si>
    <t xml:space="preserve">ML14</t>
  </si>
  <si>
    <t xml:space="preserve">Sexologia I: crimes contra a liberdade sexual; conjunção carnal e atos libidinosos; manchas de sêmen; formas de violência nos atos libidinosos</t>
  </si>
  <si>
    <t xml:space="preserve">ML15</t>
  </si>
  <si>
    <t xml:space="preserve">Sexologia II: gravidez, parto recente e puerpério; aborto; infanticídio</t>
  </si>
  <si>
    <t xml:space="preserve">ML16</t>
  </si>
  <si>
    <t xml:space="preserve">Sexologia III: maus-tratos a vulneráveis; contágio venéreo; casamento; filiação por exame de DNA</t>
  </si>
  <si>
    <t xml:space="preserve">ML17</t>
  </si>
  <si>
    <t xml:space="preserve">Psiquiatria Forense: imputabilidade penal e capacidade civil</t>
  </si>
  <si>
    <t xml:space="preserve">ML18</t>
  </si>
  <si>
    <t xml:space="preserve">Diceologia e Deontologia médicas</t>
  </si>
  <si>
    <t xml:space="preserve">PT01</t>
  </si>
  <si>
    <t xml:space="preserve">Texto: gêneros (literário e não literário), tipologia (narrativo, descritivo, argumentativo), interpretação e organização interna</t>
  </si>
  <si>
    <t xml:space="preserve">PT02</t>
  </si>
  <si>
    <t xml:space="preserve">Ortografia e acentuação gráfica</t>
  </si>
  <si>
    <t xml:space="preserve">PT03</t>
  </si>
  <si>
    <t xml:space="preserve">Morfologia I: substantivo, adjetivo, artigo, numeral e pronome</t>
  </si>
  <si>
    <t xml:space="preserve">PT04</t>
  </si>
  <si>
    <t xml:space="preserve">Morfologia II: verbo — flexão e emprego de tempos e modos</t>
  </si>
  <si>
    <t xml:space="preserve">PT05</t>
  </si>
  <si>
    <t xml:space="preserve">Advérbio, preposição e conjunção; processos de formação de palavras</t>
  </si>
  <si>
    <t xml:space="preserve">PT06</t>
  </si>
  <si>
    <t xml:space="preserve">Semântica: sentido e emprego dos vocábulos; campos semânticos</t>
  </si>
  <si>
    <t xml:space="preserve">PT07</t>
  </si>
  <si>
    <t xml:space="preserve">Sintaxe I: frase, oração e período; termos da oração</t>
  </si>
  <si>
    <t xml:space="preserve">PT08</t>
  </si>
  <si>
    <t xml:space="preserve">Sintaxe II: processos de coordenação e subordinação</t>
  </si>
  <si>
    <t xml:space="preserve">PT09</t>
  </si>
  <si>
    <t xml:space="preserve">Concordância nominal e verbal</t>
  </si>
  <si>
    <t xml:space="preserve">PT10</t>
  </si>
  <si>
    <t xml:space="preserve">Transitividade e regência de nomes e verbos</t>
  </si>
  <si>
    <t xml:space="preserve">PT11</t>
  </si>
  <si>
    <t xml:space="preserve">Emprego do sinal indicativo de crase</t>
  </si>
  <si>
    <t xml:space="preserve">PT12</t>
  </si>
  <si>
    <t xml:space="preserve">Padrões gerais de colocação pronominal</t>
  </si>
  <si>
    <t xml:space="preserve">PT13</t>
  </si>
  <si>
    <t xml:space="preserve">Pontuação</t>
  </si>
  <si>
    <t xml:space="preserve">PT14</t>
  </si>
  <si>
    <t xml:space="preserve">Mecanismos de coesão textual</t>
  </si>
  <si>
    <t xml:space="preserve">PT15</t>
  </si>
  <si>
    <t xml:space="preserve">Reescrita de frases I: substituição e deslocamento</t>
  </si>
  <si>
    <t xml:space="preserve">PT16</t>
  </si>
  <si>
    <t xml:space="preserve">Reescrita de frases II: paralelismo; variação linguística e norma culta</t>
  </si>
  <si>
    <t xml:space="preserve">DI01</t>
  </si>
  <si>
    <t xml:space="preserve">Constitucional: supremacia da Constituição; direitos e deveres individuais e coletivos (art. 5º, parte 1)</t>
  </si>
  <si>
    <t xml:space="preserve">DI02</t>
  </si>
  <si>
    <t xml:space="preserve">Constitucional: art. 5º, parte 2 (incl. remédios constitucionais)</t>
  </si>
  <si>
    <t xml:space="preserve">DI03</t>
  </si>
  <si>
    <t xml:space="preserve">Constitucional: Administração Pública e servidores públicos civis (arts. 37–41)</t>
  </si>
  <si>
    <t xml:space="preserve">DI04</t>
  </si>
  <si>
    <t xml:space="preserve">Constitucional: Poder Executivo (forma e sistema de governo, chefias); Segurança Pública na CF e na Constituição do RJ; Ordem social</t>
  </si>
  <si>
    <t xml:space="preserve">DI05</t>
  </si>
  <si>
    <t xml:space="preserve">Penal: fato típico; dolo e culpa; consumação e tentativa; crime impossível</t>
  </si>
  <si>
    <t xml:space="preserve">DI06</t>
  </si>
  <si>
    <t xml:space="preserve">Penal: inimputabilidade penal; medidas de segurança; crimes contra a pessoa (parte 1)</t>
  </si>
  <si>
    <t xml:space="preserve">DI07</t>
  </si>
  <si>
    <t xml:space="preserve">Penal: crimes contra a pessoa (parte 2); crimes contra a liberdade individual</t>
  </si>
  <si>
    <t xml:space="preserve">DI08</t>
  </si>
  <si>
    <t xml:space="preserve">Penal: crimes contra a dignidade sexual; crimes contra a administração pública</t>
  </si>
  <si>
    <t xml:space="preserve">DI09</t>
  </si>
  <si>
    <t xml:space="preserve">Proc. Penal: garantias constitucionais; inquérito policial; polícia judiciária; diligências; auto de resistência; algemas (Lei 13.434/2017 e LEP)</t>
  </si>
  <si>
    <t xml:space="preserve">DI10</t>
  </si>
  <si>
    <t xml:space="preserve">Proc. Penal: prova pericial; corpo de delito; cadeia de custódia (Lei 13.964/2019); identificação criminal e perfil genético (Leis 12.037/2009 e 12.654/2012)</t>
  </si>
  <si>
    <t xml:space="preserve">DI11</t>
  </si>
  <si>
    <t xml:space="preserve">Leis especiais: Tortura (9.455/1997); Abuso de autoridade (13.869/2019); Racismo (7.716/1989)</t>
  </si>
  <si>
    <t xml:space="preserve">DI12</t>
  </si>
  <si>
    <t xml:space="preserve">Leis especiais: Drogas (11.343/2006); ECA (8.069/1990)</t>
  </si>
  <si>
    <t xml:space="preserve">DI13</t>
  </si>
  <si>
    <t xml:space="preserve">Leis especiais: Maria da Penha (11.340/2006) e Sinal Vermelho (13.505/2017, 13.894/2019, 14.188/2021); atendimento policial e pericial especializado; Estatuto do Idoso (10.741/2003); Estatuto da PcD (13.146/2015)</t>
  </si>
  <si>
    <t xml:space="preserve">DI14</t>
  </si>
  <si>
    <t xml:space="preserve">Administrativo: conceito de Administração Pública; organização administrativa; ato administrativo</t>
  </si>
  <si>
    <t xml:space="preserve">DI15</t>
  </si>
  <si>
    <t xml:space="preserve">Administrativo: poderes (hierárquico, regulamentar, disciplinar, de polícia); limites do poder de polícia; uso e abuso de poder; agentes públicos; cargo, emprego e função; responsabilidade civil do Estado</t>
  </si>
  <si>
    <t xml:space="preserve">DI16</t>
  </si>
  <si>
    <t xml:space="preserve">Estatuto dos Funcionários Públicos Civis do RJ (DL 220/1975) e Regulamento (Dec. 2.479/1979)</t>
  </si>
  <si>
    <t xml:space="preserve">DI17</t>
  </si>
  <si>
    <t xml:space="preserve">Estatuto dos Policiais Civis do RJ (DL 218/1975) e Regulamento (Dec. 3.044/1979)</t>
  </si>
  <si>
    <t xml:space="preserve">Registro diário · uma linha por bloco de estudo</t>
  </si>
  <si>
    <t xml:space="preserve">A linha cinza é só exemplo (não entra nas contas). Preencha a partir da linha 6. Semana e % são automáticos.</t>
  </si>
  <si>
    <t xml:space="preserve">Código GERAL = revisão ou simulado que mistura vários tópicos.</t>
  </si>
  <si>
    <t xml:space="preserve">03/11/2026 (ex.)</t>
  </si>
  <si>
    <t xml:space="preserve">67%</t>
  </si>
  <si>
    <t xml:space="preserve">Exemplo: errei 2 sobre tipos de documento médico-legal</t>
  </si>
  <si>
    <t xml:space="preserve">Data</t>
  </si>
  <si>
    <t xml:space="preserve">Código do tópico</t>
  </si>
  <si>
    <t xml:space="preserve">Atividade</t>
  </si>
  <si>
    <t xml:space="preserve">Minutos</t>
  </si>
  <si>
    <t xml:space="preserve">Observação</t>
  </si>
  <si>
    <t xml:space="preserve">GERAL</t>
  </si>
  <si>
    <t xml:space="preserve">Painel semanal</t>
  </si>
  <si>
    <t xml:space="preserve">Tudo aqui é automático (vem do Registro diário e do Edital). Leia a coluna ALERTA todo domingo.</t>
  </si>
  <si>
    <t xml:space="preserve">Edital concluído hoje</t>
  </si>
  <si>
    <t xml:space="preserve">Horas totais</t>
  </si>
  <si>
    <t xml:space="preserve">Questões totais</t>
  </si>
  <si>
    <t xml:space="preserve">Horas exec.</t>
  </si>
  <si>
    <t xml:space="preserve">% execução</t>
  </si>
  <si>
    <t xml:space="preserve">Meta questões</t>
  </si>
  <si>
    <t xml:space="preserve">Questões feitas</t>
  </si>
  <si>
    <t xml:space="preserve">Acerto geral</t>
  </si>
  <si>
    <t xml:space="preserve">Acerto ML</t>
  </si>
  <si>
    <t xml:space="preserve">Acerto Port.</t>
  </si>
  <si>
    <t xml:space="preserve">Acerto Dir.</t>
  </si>
  <si>
    <t xml:space="preserve">Edital previsto (acum.)</t>
  </si>
  <si>
    <t xml:space="preserve">ALERTA</t>
  </si>
  <si>
    <t xml:space="preserve">Caderno de erros</t>
  </si>
  <si>
    <t xml:space="preserve">Uma linha por erro (ou acerto no chute). Revise na data indicada e marque Revisado = Sim.</t>
  </si>
  <si>
    <t xml:space="preserve">Para revisar hoje</t>
  </si>
  <si>
    <t xml:space="preserve">Não sabia</t>
  </si>
  <si>
    <t xml:space="preserve">Confundi conceitos</t>
  </si>
  <si>
    <t xml:space="preserve">Interpretação</t>
  </si>
  <si>
    <t xml:space="preserve">Falta de atenção</t>
  </si>
  <si>
    <t xml:space="preserve">Tempo</t>
  </si>
  <si>
    <t xml:space="preserve">QConcursos nº 123456</t>
  </si>
  <si>
    <t xml:space="preserve">Achei que parecer era o mesmo que relatório</t>
  </si>
  <si>
    <t xml:space="preserve">Parecer: opinião sobre perícia já feita, sem exame; relatório (laudo) descreve o exame</t>
  </si>
  <si>
    <t xml:space="preserve">10/11/2026</t>
  </si>
  <si>
    <t xml:space="preserve">Sim</t>
  </si>
  <si>
    <t xml:space="preserve">Questão / fonte</t>
  </si>
  <si>
    <t xml:space="preserve">Motivo do erro</t>
  </si>
  <si>
    <t xml:space="preserve">O que eu errei</t>
  </si>
  <si>
    <t xml:space="preserve">Regra correta (1 linha)</t>
  </si>
  <si>
    <t xml:space="preserve">Revisar em</t>
  </si>
  <si>
    <t xml:space="preserve">Revisado?</t>
  </si>
  <si>
    <t xml:space="preserve">Simulados</t>
  </si>
  <si>
    <t xml:space="preserve">Mínimo do edital: 50% em CADA módulo (ML 25/50 · Port 15/30 · Dir 10/20). Meta de segurança: acima de 70% no geral.</t>
  </si>
  <si>
    <t xml:space="preserve">Simulado</t>
  </si>
  <si>
    <t xml:space="preserve">Q. ML</t>
  </si>
  <si>
    <t xml:space="preserve">Acertos ML</t>
  </si>
  <si>
    <t xml:space="preserve">Q. Port.</t>
  </si>
  <si>
    <t xml:space="preserve">Acertos Port.</t>
  </si>
  <si>
    <t xml:space="preserve">Q. Dir.</t>
  </si>
  <si>
    <t xml:space="preserve">Acertos Dir.</t>
  </si>
  <si>
    <t xml:space="preserve">% ML</t>
  </si>
  <si>
    <t xml:space="preserve">% Port.</t>
  </si>
  <si>
    <t xml:space="preserve">% Dir.</t>
  </si>
  <si>
    <t xml:space="preserve">% Total</t>
  </si>
  <si>
    <t xml:space="preserve">Passa no mínimo?</t>
  </si>
  <si>
    <t xml:space="preserve">Meta 70%?</t>
  </si>
  <si>
    <t xml:space="preserve">Mini-simulado diagnóstico</t>
  </si>
  <si>
    <t xml:space="preserve">Simulado 1</t>
  </si>
  <si>
    <t xml:space="preserve">Simulado 2</t>
  </si>
  <si>
    <t xml:space="preserve">Simulado 3</t>
  </si>
  <si>
    <t xml:space="preserve">Extra</t>
  </si>
  <si>
    <t xml:space="preserve">Depois de cada simulado: corrija na segunda (bloco 1), lance os erros no Caderno de erros e anote os 3 tópicos com mais erros na aba Cronograma (Observações).</t>
  </si>
  <si>
    <t xml:space="preserve">Teste de Aptidão Física (índices femininos · edital 2021)</t>
  </si>
  <si>
    <t xml:space="preserve">Cada teste tem uma única tentativa na prova. Teste a cada 4 semanas e registre aqui.</t>
  </si>
  <si>
    <t xml:space="preserve">Flexão de braço (rep. em 1 min)</t>
  </si>
  <si>
    <t xml:space="preserve">Abdominal (rep. em 1 min)</t>
  </si>
  <si>
    <t xml:space="preserve">100 m (segundos)</t>
  </si>
  <si>
    <t xml:space="preserve">1.600 m (minutos, ex.: 11,5)</t>
  </si>
  <si>
    <t xml:space="preserve">Flexão</t>
  </si>
  <si>
    <t xml:space="preserve">Abdominal</t>
  </si>
  <si>
    <t xml:space="preserve">100 m</t>
  </si>
  <si>
    <t xml:space="preserve">1.600 m</t>
  </si>
  <si>
    <t xml:space="preserve">Índice</t>
  </si>
  <si>
    <t xml:space="preserve">≥ 15</t>
  </si>
  <si>
    <t xml:space="preserve">≥ 20</t>
  </si>
  <si>
    <t xml:space="preserve">≤ 22</t>
  </si>
  <si>
    <t xml:space="preserve">≤ 12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</si>
</sst>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dd/mm/yy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6B62"/>
      <name val="Arial"/>
      <family val="0"/>
      <charset val="1"/>
    </font>
    <font>
      <i val="true"/>
      <sz val="10"/>
      <color rgb="FF5A686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4C2"/>
        <bgColor rgb="FFFBF0E3"/>
      </patternFill>
    </fill>
    <fill>
      <patternFill patternType="solid">
        <fgColor rgb="FF1D6B62"/>
        <bgColor rgb="FF008080"/>
      </patternFill>
    </fill>
    <fill>
      <patternFill patternType="solid">
        <fgColor rgb="FFEEF2F1"/>
        <bgColor rgb="FFF3F3F3"/>
      </patternFill>
    </fill>
    <fill>
      <patternFill patternType="solid">
        <fgColor rgb="FFFBF0E3"/>
        <bgColor rgb="FFF3F3F3"/>
      </patternFill>
    </fill>
    <fill>
      <patternFill patternType="solid">
        <fgColor rgb="FFF3F3F3"/>
        <bgColor rgb="FFEE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0"/>
      </left>
      <right style="thin">
        <color rgb="FFC9D3D0"/>
      </right>
      <top style="thin">
        <color rgb="FFC9D3D0"/>
      </top>
      <bottom style="thin">
        <color rgb="FFC9D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DEBD9"/>
        </patternFill>
      </fill>
    </dxf>
    <dxf>
      <fill>
        <patternFill>
          <bgColor rgb="FFF6D3CF"/>
        </patternFill>
      </fill>
    </dxf>
    <dxf>
      <font>
        <name val="Arial"/>
        <charset val="1"/>
        <family val="0"/>
        <b val="1"/>
        <color rgb="FF9C1C1C"/>
      </font>
      <fill>
        <patternFill>
          <bgColor rgb="FFF6D3CF"/>
        </patternFill>
      </fill>
    </dxf>
    <dxf>
      <font>
        <name val="Arial"/>
        <charset val="1"/>
        <family val="0"/>
        <b val="1"/>
        <color rgb="FF9C1C1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62"/>
      <rgbColor rgb="FFC9D3D0"/>
      <rgbColor rgb="FF878787"/>
      <rgbColor rgb="FF9999FF"/>
      <rgbColor rgb="FFBE4B48"/>
      <rgbColor rgb="FFFFF4C2"/>
      <rgbColor rgb="FFEEF2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DEBD9"/>
      <rgbColor rgb="FFFBF0E3"/>
      <rgbColor rgb="FF99CCFF"/>
      <rgbColor rgb="FFFF99CC"/>
      <rgbColor rgb="FFCC99FF"/>
      <rgbColor rgb="FFF6D3CF"/>
      <rgbColor rgb="FF4A7EBB"/>
      <rgbColor rgb="FF33CCCC"/>
      <rgbColor rgb="FF98B855"/>
      <rgbColor rgb="FFFFCC00"/>
      <rgbColor rgb="FFFF9900"/>
      <rgbColor rgb="FFFF6600"/>
      <rgbColor rgb="FF5A6863"/>
      <rgbColor rgb="FF777777"/>
      <rgbColor rgb="FF003366"/>
      <rgbColor rgb="FF4F81BD"/>
      <rgbColor rgb="FF003300"/>
      <rgbColor rgb="FF333300"/>
      <rgbColor rgb="FF9C1C1C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Acerto por disciplina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'Painel semanal'!I6</c:f>
              <c:strCache>
                <c:ptCount val="1"/>
                <c:pt idx="0">
                  <c:v>Acerto ML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'Painel semanal'!$A$7:$A$32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'Painel semanal'!$I$7:$I$32</c:f>
              <c:numCache>
                <c:formatCode>General</c:formatCode>
                <c:ptCount val="26"/>
              </c:numCache>
            </c:numRef>
          </c:val>
          <c:smooth val="1"/>
        </c:ser>
        <c:ser>
          <c:idx val="1"/>
          <c:order val="1"/>
          <c:tx>
            <c:strRef>
              <c:f>'Painel semanal'!J6</c:f>
              <c:strCache>
                <c:ptCount val="1"/>
                <c:pt idx="0">
                  <c:v>Acerto Port.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'Painel semanal'!$A$7:$A$32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'Painel semanal'!$J$7:$J$32</c:f>
              <c:numCache>
                <c:formatCode>General</c:formatCode>
                <c:ptCount val="26"/>
              </c:numCache>
            </c:numRef>
          </c:val>
          <c:smooth val="1"/>
        </c:ser>
        <c:ser>
          <c:idx val="2"/>
          <c:order val="2"/>
          <c:tx>
            <c:strRef>
              <c:f>'Painel semanal'!K6</c:f>
              <c:strCache>
                <c:ptCount val="1"/>
                <c:pt idx="0">
                  <c:v>Acerto Dir.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'Painel semanal'!$A$7:$A$32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'Painel semanal'!$K$7:$K$32</c:f>
              <c:numCache>
                <c:formatCode>General</c:formatCode>
                <c:ptCount val="26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49444"/>
        <c:axId val="10594679"/>
      </c:lineChart>
      <c:catAx>
        <c:axId val="6349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94679"/>
        <c:crosses val="autoZero"/>
        <c:auto val="1"/>
        <c:lblAlgn val="ctr"/>
        <c:lblOffset val="100"/>
        <c:noMultiLvlLbl val="0"/>
      </c:catAx>
      <c:valAx>
        <c:axId val="1059467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94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Horas planejadas x executadas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'Painel semanal'!C6</c:f>
              <c:strCache>
                <c:ptCount val="1"/>
                <c:pt idx="0">
                  <c:v>Horas plan.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'Painel semanal'!$A$7:$A$32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'Painel semanal'!$C$7:$C$32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5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13</c:v>
                </c:pt>
                <c:pt idx="21">
                  <c:v>10</c:v>
                </c:pt>
                <c:pt idx="22">
                  <c:v>13</c:v>
                </c:pt>
                <c:pt idx="23">
                  <c:v>10</c:v>
                </c:pt>
                <c:pt idx="24">
                  <c:v>13</c:v>
                </c:pt>
                <c:pt idx="25">
                  <c:v>6</c:v>
                </c:pt>
              </c:numCache>
            </c:numRef>
          </c:val>
        </c:ser>
        <c:ser>
          <c:idx val="1"/>
          <c:order val="1"/>
          <c:tx>
            <c:strRef>
              <c:f>'Painel semanal'!D6</c:f>
              <c:strCache>
                <c:ptCount val="1"/>
                <c:pt idx="0">
                  <c:v>Horas exec.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'Painel semanal'!$A$7:$A$32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'Painel semanal'!$D$7:$D$32</c:f>
              <c:numCache>
                <c:formatCode>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50"/>
        <c:overlap val="0"/>
        <c:axId val="43974795"/>
        <c:axId val="78649437"/>
      </c:barChart>
      <c:catAx>
        <c:axId val="43974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49437"/>
        <c:crosses val="autoZero"/>
        <c:auto val="1"/>
        <c:lblAlgn val="ctr"/>
        <c:lblOffset val="100"/>
        <c:noMultiLvlLbl val="0"/>
      </c:catAx>
      <c:valAx>
        <c:axId val="78649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747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18360</xdr:rowOff>
    </xdr:from>
    <xdr:to>
      <xdr:col>24</xdr:col>
      <xdr:colOff>364320</xdr:colOff>
      <xdr:row>16</xdr:row>
      <xdr:rowOff>177480</xdr:rowOff>
    </xdr:to>
    <xdr:graphicFrame>
      <xdr:nvGraphicFramePr>
        <xdr:cNvPr id="0" name="Chart 1"/>
        <xdr:cNvGraphicFramePr/>
      </xdr:nvGraphicFramePr>
      <xdr:xfrm>
        <a:off x="12523320" y="95256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18</xdr:row>
      <xdr:rowOff>145080</xdr:rowOff>
    </xdr:from>
    <xdr:to>
      <xdr:col>24</xdr:col>
      <xdr:colOff>364320</xdr:colOff>
      <xdr:row>32</xdr:row>
      <xdr:rowOff>177480</xdr:rowOff>
    </xdr:to>
    <xdr:graphicFrame>
      <xdr:nvGraphicFramePr>
        <xdr:cNvPr id="1" name="Chart 2"/>
        <xdr:cNvGraphicFramePr/>
      </xdr:nvGraphicFramePr>
      <xdr:xfrm>
        <a:off x="12523320" y="40006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3" t="s">
        <v>4</v>
      </c>
    </row>
    <row r="8" customFormat="false" ht="23.85" hidden="false" customHeight="false" outlineLevel="0" collapsed="false">
      <c r="B8" s="5" t="s">
        <v>5</v>
      </c>
    </row>
    <row r="9" customFormat="false" ht="23.8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5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5" t="s">
        <v>15</v>
      </c>
    </row>
    <row r="20" customFormat="false" ht="15" hidden="false" customHeight="false" outlineLevel="0" collapsed="false">
      <c r="B20" s="5" t="s">
        <v>16</v>
      </c>
    </row>
    <row r="21" customFormat="false" ht="15" hidden="false" customHeight="false" outlineLevel="0" collapsed="false">
      <c r="B21" s="5" t="s">
        <v>17</v>
      </c>
    </row>
    <row r="22" customFormat="false" ht="15" hidden="false" customHeight="false" outlineLevel="0" collapsed="false">
      <c r="B22" s="5" t="s">
        <v>18</v>
      </c>
    </row>
    <row r="23" customFormat="false" ht="15" hidden="false" customHeight="false" outlineLevel="0" collapsed="false">
      <c r="B23" s="5" t="s">
        <v>19</v>
      </c>
    </row>
    <row r="24" customFormat="false" ht="15" hidden="false" customHeight="false" outlineLevel="0" collapsed="false">
      <c r="B24" s="5"/>
    </row>
    <row r="25" customFormat="false" ht="15" hidden="false" customHeight="false" outlineLevel="0" collapsed="false">
      <c r="B25" s="5" t="s">
        <v>20</v>
      </c>
    </row>
    <row r="26" customFormat="false" ht="23.85" hidden="false" customHeight="false" outlineLevel="0" collapsed="false">
      <c r="B26" s="5" t="s">
        <v>21</v>
      </c>
    </row>
    <row r="27" customFormat="false" ht="23.85" hidden="false" customHeight="false" outlineLevel="0" collapsed="false">
      <c r="B27" s="5" t="s">
        <v>22</v>
      </c>
    </row>
    <row r="28" customFormat="false" ht="15" hidden="false" customHeight="false" outlineLevel="0" collapsed="false">
      <c r="B28" s="5" t="s">
        <v>23</v>
      </c>
    </row>
    <row r="29" customFormat="false" ht="15" hidden="false" customHeight="false" outlineLevel="0" collapsed="false">
      <c r="B29" s="5"/>
    </row>
    <row r="30" customFormat="false" ht="15" hidden="false" customHeight="false" outlineLevel="0" collapsed="false">
      <c r="B30" s="5" t="s">
        <v>24</v>
      </c>
    </row>
    <row r="31" customFormat="false" ht="23.85" hidden="false" customHeight="false" outlineLevel="0" collapsed="false">
      <c r="B31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48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</row>
    <row r="5" customFormat="false" ht="15" hidden="false" customHeight="false" outlineLevel="0" collapsed="false">
      <c r="A5" s="7" t="s">
        <v>34</v>
      </c>
      <c r="B5" s="7" t="s">
        <v>35</v>
      </c>
      <c r="C5" s="7" t="s">
        <v>36</v>
      </c>
      <c r="D5" s="8" t="s">
        <v>37</v>
      </c>
      <c r="E5" s="8" t="s">
        <v>38</v>
      </c>
      <c r="F5" s="8" t="s">
        <v>39</v>
      </c>
    </row>
    <row r="6" customFormat="false" ht="15" hidden="false" customHeight="false" outlineLevel="0" collapsed="false">
      <c r="A6" s="7" t="s">
        <v>34</v>
      </c>
      <c r="B6" s="7" t="s">
        <v>40</v>
      </c>
      <c r="C6" s="7" t="s">
        <v>41</v>
      </c>
      <c r="D6" s="8" t="s">
        <v>37</v>
      </c>
      <c r="E6" s="8" t="s">
        <v>42</v>
      </c>
      <c r="F6" s="8" t="s">
        <v>43</v>
      </c>
    </row>
    <row r="7" customFormat="false" ht="15" hidden="false" customHeight="false" outlineLevel="0" collapsed="false">
      <c r="A7" s="9" t="s">
        <v>44</v>
      </c>
      <c r="B7" s="9" t="s">
        <v>45</v>
      </c>
      <c r="C7" s="9" t="s">
        <v>45</v>
      </c>
      <c r="D7" s="10" t="s">
        <v>46</v>
      </c>
      <c r="E7" s="10" t="s">
        <v>47</v>
      </c>
      <c r="F7" s="10" t="s">
        <v>47</v>
      </c>
    </row>
    <row r="8" customFormat="false" ht="15" hidden="false" customHeight="false" outlineLevel="0" collapsed="false">
      <c r="A8" s="7" t="s">
        <v>48</v>
      </c>
      <c r="B8" s="7" t="s">
        <v>35</v>
      </c>
      <c r="C8" s="7" t="s">
        <v>36</v>
      </c>
      <c r="D8" s="8" t="s">
        <v>49</v>
      </c>
      <c r="E8" s="8" t="s">
        <v>50</v>
      </c>
      <c r="F8" s="8" t="s">
        <v>51</v>
      </c>
    </row>
    <row r="9" customFormat="false" ht="15" hidden="false" customHeight="false" outlineLevel="0" collapsed="false">
      <c r="A9" s="7" t="s">
        <v>48</v>
      </c>
      <c r="B9" s="7" t="s">
        <v>40</v>
      </c>
      <c r="C9" s="7" t="s">
        <v>41</v>
      </c>
      <c r="D9" s="8" t="s">
        <v>52</v>
      </c>
      <c r="E9" s="8" t="s">
        <v>53</v>
      </c>
      <c r="F9" s="8" t="s">
        <v>54</v>
      </c>
    </row>
    <row r="10" customFormat="false" ht="15" hidden="false" customHeight="false" outlineLevel="0" collapsed="false">
      <c r="A10" s="7" t="s">
        <v>55</v>
      </c>
      <c r="B10" s="7" t="s">
        <v>35</v>
      </c>
      <c r="C10" s="7" t="s">
        <v>36</v>
      </c>
      <c r="D10" s="8" t="s">
        <v>37</v>
      </c>
      <c r="E10" s="8" t="s">
        <v>56</v>
      </c>
      <c r="F10" s="8" t="s">
        <v>57</v>
      </c>
    </row>
    <row r="11" customFormat="false" ht="15" hidden="false" customHeight="false" outlineLevel="0" collapsed="false">
      <c r="A11" s="7" t="s">
        <v>55</v>
      </c>
      <c r="B11" s="7" t="s">
        <v>40</v>
      </c>
      <c r="C11" s="7" t="s">
        <v>41</v>
      </c>
      <c r="D11" s="8" t="s">
        <v>49</v>
      </c>
      <c r="E11" s="8" t="s">
        <v>58</v>
      </c>
      <c r="F11" s="8" t="s">
        <v>51</v>
      </c>
    </row>
    <row r="12" customFormat="false" ht="15" hidden="false" customHeight="false" outlineLevel="0" collapsed="false">
      <c r="A12" s="7" t="s">
        <v>59</v>
      </c>
      <c r="B12" s="7" t="s">
        <v>35</v>
      </c>
      <c r="C12" s="7" t="s">
        <v>36</v>
      </c>
      <c r="D12" s="8" t="s">
        <v>37</v>
      </c>
      <c r="E12" s="8" t="s">
        <v>60</v>
      </c>
      <c r="F12" s="8" t="s">
        <v>43</v>
      </c>
    </row>
    <row r="13" customFormat="false" ht="15" hidden="false" customHeight="false" outlineLevel="0" collapsed="false">
      <c r="A13" s="7" t="s">
        <v>59</v>
      </c>
      <c r="B13" s="7" t="s">
        <v>40</v>
      </c>
      <c r="C13" s="7" t="s">
        <v>41</v>
      </c>
      <c r="D13" s="8" t="s">
        <v>52</v>
      </c>
      <c r="E13" s="8" t="s">
        <v>61</v>
      </c>
      <c r="F13" s="8" t="s">
        <v>62</v>
      </c>
    </row>
    <row r="14" customFormat="false" ht="15" hidden="false" customHeight="false" outlineLevel="0" collapsed="false">
      <c r="A14" s="9" t="s">
        <v>63</v>
      </c>
      <c r="B14" s="9" t="s">
        <v>45</v>
      </c>
      <c r="C14" s="9" t="s">
        <v>45</v>
      </c>
      <c r="D14" s="10" t="s">
        <v>46</v>
      </c>
      <c r="E14" s="10" t="s">
        <v>47</v>
      </c>
      <c r="F14" s="10" t="s">
        <v>47</v>
      </c>
    </row>
    <row r="15" customFormat="false" ht="15" hidden="false" customHeight="false" outlineLevel="0" collapsed="false">
      <c r="A15" s="7" t="s">
        <v>64</v>
      </c>
      <c r="B15" s="7" t="s">
        <v>35</v>
      </c>
      <c r="C15" s="7" t="s">
        <v>36</v>
      </c>
      <c r="D15" s="8" t="s">
        <v>49</v>
      </c>
      <c r="E15" s="8" t="s">
        <v>65</v>
      </c>
      <c r="F15" s="8" t="s">
        <v>66</v>
      </c>
    </row>
    <row r="16" customFormat="false" ht="15" hidden="false" customHeight="false" outlineLevel="0" collapsed="false">
      <c r="A16" s="7" t="s">
        <v>64</v>
      </c>
      <c r="B16" s="7" t="s">
        <v>40</v>
      </c>
      <c r="C16" s="7" t="s">
        <v>41</v>
      </c>
      <c r="D16" s="8" t="s">
        <v>67</v>
      </c>
      <c r="E16" s="8" t="s">
        <v>68</v>
      </c>
      <c r="F16" s="8" t="s">
        <v>69</v>
      </c>
    </row>
    <row r="18" customFormat="false" ht="15" hidden="false" customHeight="false" outlineLevel="0" collapsed="false">
      <c r="A18" s="11" t="s">
        <v>70</v>
      </c>
    </row>
    <row r="19" customFormat="false" ht="15" hidden="false" customHeight="false" outlineLevel="0" collapsed="false">
      <c r="A19" s="11" t="s">
        <v>71</v>
      </c>
    </row>
    <row r="20" customFormat="false" ht="15" hidden="false" customHeight="false" outlineLevel="0" collapsed="false">
      <c r="A20" s="1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3" min="13" style="0" width="28"/>
  </cols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23.85" hidden="false" customHeight="false" outlineLevel="0" collapsed="false">
      <c r="A4" s="6" t="s">
        <v>75</v>
      </c>
      <c r="B4" s="6" t="s">
        <v>76</v>
      </c>
      <c r="C4" s="6" t="s">
        <v>77</v>
      </c>
      <c r="D4" s="6" t="s">
        <v>37</v>
      </c>
      <c r="E4" s="6" t="s">
        <v>49</v>
      </c>
      <c r="F4" s="6" t="s">
        <v>52</v>
      </c>
      <c r="G4" s="6" t="s">
        <v>78</v>
      </c>
      <c r="H4" s="6" t="s">
        <v>79</v>
      </c>
      <c r="I4" s="6" t="s">
        <v>80</v>
      </c>
      <c r="J4" s="6" t="s">
        <v>81</v>
      </c>
      <c r="K4" s="6" t="s">
        <v>82</v>
      </c>
      <c r="L4" s="6" t="s">
        <v>83</v>
      </c>
      <c r="M4" s="6" t="s">
        <v>84</v>
      </c>
    </row>
    <row r="5" customFormat="false" ht="46.25" hidden="false" customHeight="false" outlineLevel="0" collapsed="false">
      <c r="A5" s="7" t="s">
        <v>85</v>
      </c>
      <c r="B5" s="8" t="s">
        <v>86</v>
      </c>
      <c r="C5" s="7" t="s">
        <v>87</v>
      </c>
      <c r="D5" s="8" t="s">
        <v>88</v>
      </c>
      <c r="E5" s="8" t="s">
        <v>89</v>
      </c>
      <c r="F5" s="8" t="s">
        <v>90</v>
      </c>
      <c r="G5" s="8" t="s">
        <v>91</v>
      </c>
      <c r="H5" s="7" t="n">
        <v>10</v>
      </c>
      <c r="I5" s="7" t="s">
        <v>45</v>
      </c>
      <c r="J5" s="8"/>
      <c r="K5" s="8" t="s">
        <v>92</v>
      </c>
      <c r="L5" s="12"/>
      <c r="M5" s="12"/>
    </row>
    <row r="6" customFormat="false" ht="23.85" hidden="false" customHeight="false" outlineLevel="0" collapsed="false">
      <c r="A6" s="7" t="s">
        <v>93</v>
      </c>
      <c r="B6" s="8" t="s">
        <v>94</v>
      </c>
      <c r="C6" s="7" t="s">
        <v>87</v>
      </c>
      <c r="D6" s="8" t="s">
        <v>95</v>
      </c>
      <c r="E6" s="8" t="s">
        <v>96</v>
      </c>
      <c r="F6" s="8" t="s">
        <v>97</v>
      </c>
      <c r="G6" s="8" t="s">
        <v>91</v>
      </c>
      <c r="H6" s="7" t="n">
        <v>10</v>
      </c>
      <c r="I6" s="7" t="s">
        <v>45</v>
      </c>
      <c r="J6" s="8"/>
      <c r="K6" s="8" t="s">
        <v>98</v>
      </c>
      <c r="L6" s="12"/>
      <c r="M6" s="12"/>
    </row>
    <row r="7" customFormat="false" ht="23.85" hidden="false" customHeight="false" outlineLevel="0" collapsed="false">
      <c r="A7" s="7" t="s">
        <v>99</v>
      </c>
      <c r="B7" s="8" t="s">
        <v>100</v>
      </c>
      <c r="C7" s="7" t="s">
        <v>87</v>
      </c>
      <c r="D7" s="8" t="s">
        <v>101</v>
      </c>
      <c r="E7" s="8" t="s">
        <v>102</v>
      </c>
      <c r="F7" s="8" t="s">
        <v>103</v>
      </c>
      <c r="G7" s="8" t="s">
        <v>91</v>
      </c>
      <c r="H7" s="7" t="n">
        <v>10</v>
      </c>
      <c r="I7" s="7" t="s">
        <v>45</v>
      </c>
      <c r="J7" s="8"/>
      <c r="K7" s="8" t="s">
        <v>104</v>
      </c>
      <c r="L7" s="12"/>
      <c r="M7" s="12"/>
    </row>
    <row r="8" customFormat="false" ht="46.25" hidden="false" customHeight="false" outlineLevel="0" collapsed="false">
      <c r="A8" s="7" t="s">
        <v>105</v>
      </c>
      <c r="B8" s="8" t="s">
        <v>106</v>
      </c>
      <c r="C8" s="7" t="s">
        <v>87</v>
      </c>
      <c r="D8" s="8" t="s">
        <v>107</v>
      </c>
      <c r="E8" s="8" t="s">
        <v>108</v>
      </c>
      <c r="F8" s="8" t="s">
        <v>109</v>
      </c>
      <c r="G8" s="8" t="s">
        <v>91</v>
      </c>
      <c r="H8" s="7" t="n">
        <v>10</v>
      </c>
      <c r="I8" s="7" t="s">
        <v>45</v>
      </c>
      <c r="J8" s="8" t="s">
        <v>110</v>
      </c>
      <c r="K8" s="8" t="s">
        <v>111</v>
      </c>
      <c r="L8" s="12"/>
      <c r="M8" s="12"/>
    </row>
    <row r="9" customFormat="false" ht="35.05" hidden="false" customHeight="false" outlineLevel="0" collapsed="false">
      <c r="A9" s="7" t="s">
        <v>112</v>
      </c>
      <c r="B9" s="8" t="s">
        <v>113</v>
      </c>
      <c r="C9" s="7" t="s">
        <v>87</v>
      </c>
      <c r="D9" s="8" t="s">
        <v>114</v>
      </c>
      <c r="E9" s="8" t="s">
        <v>115</v>
      </c>
      <c r="F9" s="8" t="s">
        <v>116</v>
      </c>
      <c r="G9" s="8" t="s">
        <v>91</v>
      </c>
      <c r="H9" s="7" t="n">
        <v>10</v>
      </c>
      <c r="I9" s="7" t="s">
        <v>85</v>
      </c>
      <c r="J9" s="8"/>
      <c r="K9" s="8" t="s">
        <v>98</v>
      </c>
      <c r="L9" s="12"/>
      <c r="M9" s="12"/>
    </row>
    <row r="10" customFormat="false" ht="23.85" hidden="false" customHeight="false" outlineLevel="0" collapsed="false">
      <c r="A10" s="7" t="s">
        <v>117</v>
      </c>
      <c r="B10" s="8" t="s">
        <v>118</v>
      </c>
      <c r="C10" s="7" t="s">
        <v>87</v>
      </c>
      <c r="D10" s="8" t="s">
        <v>119</v>
      </c>
      <c r="E10" s="8" t="s">
        <v>120</v>
      </c>
      <c r="F10" s="8" t="s">
        <v>121</v>
      </c>
      <c r="G10" s="8" t="s">
        <v>91</v>
      </c>
      <c r="H10" s="7" t="n">
        <v>10</v>
      </c>
      <c r="I10" s="7" t="s">
        <v>93</v>
      </c>
      <c r="J10" s="8"/>
      <c r="K10" s="8" t="s">
        <v>122</v>
      </c>
      <c r="L10" s="12"/>
      <c r="M10" s="12"/>
    </row>
    <row r="11" customFormat="false" ht="35.05" hidden="false" customHeight="false" outlineLevel="0" collapsed="false">
      <c r="A11" s="7" t="s">
        <v>123</v>
      </c>
      <c r="B11" s="8" t="s">
        <v>124</v>
      </c>
      <c r="C11" s="7" t="s">
        <v>87</v>
      </c>
      <c r="D11" s="8" t="s">
        <v>125</v>
      </c>
      <c r="E11" s="8" t="s">
        <v>126</v>
      </c>
      <c r="F11" s="8" t="s">
        <v>127</v>
      </c>
      <c r="G11" s="8" t="s">
        <v>91</v>
      </c>
      <c r="H11" s="7" t="n">
        <v>10</v>
      </c>
      <c r="I11" s="7" t="s">
        <v>99</v>
      </c>
      <c r="J11" s="8"/>
      <c r="K11" s="8" t="s">
        <v>128</v>
      </c>
      <c r="L11" s="12"/>
      <c r="M11" s="12"/>
    </row>
    <row r="12" customFormat="false" ht="23.85" hidden="false" customHeight="true" outlineLevel="0" collapsed="false">
      <c r="A12" s="13" t="s">
        <v>129</v>
      </c>
      <c r="B12" s="14" t="s">
        <v>130</v>
      </c>
      <c r="C12" s="13" t="s">
        <v>87</v>
      </c>
      <c r="D12" s="14" t="s">
        <v>131</v>
      </c>
      <c r="E12" s="14"/>
      <c r="F12" s="14"/>
      <c r="G12" s="14" t="s">
        <v>132</v>
      </c>
      <c r="H12" s="13" t="n">
        <v>5</v>
      </c>
      <c r="I12" s="13" t="s">
        <v>45</v>
      </c>
      <c r="J12" s="14" t="s">
        <v>110</v>
      </c>
      <c r="K12" s="14" t="s">
        <v>98</v>
      </c>
      <c r="L12" s="12"/>
      <c r="M12" s="12"/>
    </row>
    <row r="13" customFormat="false" ht="23.85" hidden="false" customHeight="false" outlineLevel="0" collapsed="false">
      <c r="A13" s="7" t="s">
        <v>133</v>
      </c>
      <c r="B13" s="8" t="s">
        <v>134</v>
      </c>
      <c r="C13" s="7" t="s">
        <v>87</v>
      </c>
      <c r="D13" s="8" t="s">
        <v>135</v>
      </c>
      <c r="E13" s="8" t="s">
        <v>136</v>
      </c>
      <c r="F13" s="8" t="s">
        <v>137</v>
      </c>
      <c r="G13" s="8" t="s">
        <v>138</v>
      </c>
      <c r="H13" s="7" t="n">
        <v>10</v>
      </c>
      <c r="I13" s="7" t="s">
        <v>112</v>
      </c>
      <c r="J13" s="8"/>
      <c r="K13" s="8" t="s">
        <v>139</v>
      </c>
      <c r="L13" s="12"/>
      <c r="M13" s="12"/>
    </row>
    <row r="14" customFormat="false" ht="46.25" hidden="false" customHeight="false" outlineLevel="0" collapsed="false">
      <c r="A14" s="7" t="s">
        <v>140</v>
      </c>
      <c r="B14" s="8" t="s">
        <v>141</v>
      </c>
      <c r="C14" s="7" t="s">
        <v>87</v>
      </c>
      <c r="D14" s="8" t="s">
        <v>142</v>
      </c>
      <c r="E14" s="8" t="s">
        <v>143</v>
      </c>
      <c r="F14" s="8" t="s">
        <v>144</v>
      </c>
      <c r="G14" s="8" t="s">
        <v>138</v>
      </c>
      <c r="H14" s="7" t="n">
        <v>10</v>
      </c>
      <c r="I14" s="7" t="s">
        <v>117</v>
      </c>
      <c r="J14" s="8"/>
      <c r="K14" s="8" t="s">
        <v>98</v>
      </c>
      <c r="L14" s="12"/>
      <c r="M14" s="12"/>
    </row>
    <row r="15" customFormat="false" ht="46.25" hidden="false" customHeight="false" outlineLevel="0" collapsed="false">
      <c r="A15" s="7" t="s">
        <v>145</v>
      </c>
      <c r="B15" s="8" t="s">
        <v>146</v>
      </c>
      <c r="C15" s="7" t="s">
        <v>87</v>
      </c>
      <c r="D15" s="8" t="s">
        <v>147</v>
      </c>
      <c r="E15" s="8" t="s">
        <v>148</v>
      </c>
      <c r="F15" s="8" t="s">
        <v>149</v>
      </c>
      <c r="G15" s="8" t="s">
        <v>138</v>
      </c>
      <c r="H15" s="7" t="n">
        <v>10</v>
      </c>
      <c r="I15" s="7" t="s">
        <v>123</v>
      </c>
      <c r="J15" s="8"/>
      <c r="K15" s="8" t="s">
        <v>150</v>
      </c>
      <c r="L15" s="12"/>
      <c r="M15" s="12"/>
    </row>
    <row r="16" customFormat="false" ht="46.25" hidden="false" customHeight="false" outlineLevel="0" collapsed="false">
      <c r="A16" s="7" t="s">
        <v>151</v>
      </c>
      <c r="B16" s="8" t="s">
        <v>152</v>
      </c>
      <c r="C16" s="7" t="s">
        <v>87</v>
      </c>
      <c r="D16" s="8" t="s">
        <v>153</v>
      </c>
      <c r="E16" s="8" t="s">
        <v>154</v>
      </c>
      <c r="F16" s="8" t="s">
        <v>155</v>
      </c>
      <c r="G16" s="8" t="s">
        <v>138</v>
      </c>
      <c r="H16" s="7" t="n">
        <v>10</v>
      </c>
      <c r="I16" s="7" t="s">
        <v>133</v>
      </c>
      <c r="J16" s="8" t="s">
        <v>110</v>
      </c>
      <c r="K16" s="8" t="s">
        <v>98</v>
      </c>
      <c r="L16" s="12"/>
      <c r="M16" s="12"/>
    </row>
    <row r="17" customFormat="false" ht="46.25" hidden="false" customHeight="false" outlineLevel="0" collapsed="false">
      <c r="A17" s="7" t="s">
        <v>156</v>
      </c>
      <c r="B17" s="8" t="s">
        <v>157</v>
      </c>
      <c r="C17" s="7" t="s">
        <v>87</v>
      </c>
      <c r="D17" s="8" t="s">
        <v>158</v>
      </c>
      <c r="E17" s="8" t="s">
        <v>159</v>
      </c>
      <c r="F17" s="8" t="s">
        <v>160</v>
      </c>
      <c r="G17" s="8" t="s">
        <v>138</v>
      </c>
      <c r="H17" s="7" t="n">
        <v>10</v>
      </c>
      <c r="I17" s="7" t="s">
        <v>140</v>
      </c>
      <c r="J17" s="8" t="s">
        <v>161</v>
      </c>
      <c r="K17" s="8" t="s">
        <v>162</v>
      </c>
      <c r="L17" s="12"/>
      <c r="M17" s="12"/>
    </row>
    <row r="18" customFormat="false" ht="57.45" hidden="false" customHeight="false" outlineLevel="0" collapsed="false">
      <c r="A18" s="7" t="s">
        <v>163</v>
      </c>
      <c r="B18" s="8" t="s">
        <v>164</v>
      </c>
      <c r="C18" s="7" t="s">
        <v>87</v>
      </c>
      <c r="D18" s="8" t="s">
        <v>165</v>
      </c>
      <c r="E18" s="8" t="s">
        <v>166</v>
      </c>
      <c r="F18" s="8" t="s">
        <v>167</v>
      </c>
      <c r="G18" s="8" t="s">
        <v>138</v>
      </c>
      <c r="H18" s="7" t="n">
        <v>10</v>
      </c>
      <c r="I18" s="7" t="s">
        <v>145</v>
      </c>
      <c r="J18" s="8"/>
      <c r="K18" s="8" t="s">
        <v>168</v>
      </c>
      <c r="L18" s="12"/>
      <c r="M18" s="12"/>
    </row>
    <row r="19" customFormat="false" ht="23.85" hidden="false" customHeight="true" outlineLevel="0" collapsed="false">
      <c r="A19" s="13" t="s">
        <v>169</v>
      </c>
      <c r="B19" s="14" t="s">
        <v>170</v>
      </c>
      <c r="C19" s="13" t="s">
        <v>87</v>
      </c>
      <c r="D19" s="14" t="s">
        <v>171</v>
      </c>
      <c r="E19" s="14"/>
      <c r="F19" s="14"/>
      <c r="G19" s="14" t="s">
        <v>132</v>
      </c>
      <c r="H19" s="13" t="n">
        <v>5</v>
      </c>
      <c r="I19" s="13" t="s">
        <v>45</v>
      </c>
      <c r="J19" s="14"/>
      <c r="K19" s="14" t="s">
        <v>98</v>
      </c>
      <c r="L19" s="12"/>
      <c r="M19" s="12"/>
    </row>
    <row r="20" customFormat="false" ht="35.05" hidden="false" customHeight="false" outlineLevel="0" collapsed="false">
      <c r="A20" s="7" t="s">
        <v>172</v>
      </c>
      <c r="B20" s="8" t="s">
        <v>173</v>
      </c>
      <c r="C20" s="7" t="s">
        <v>87</v>
      </c>
      <c r="D20" s="8" t="s">
        <v>174</v>
      </c>
      <c r="E20" s="8" t="s">
        <v>175</v>
      </c>
      <c r="F20" s="8" t="s">
        <v>176</v>
      </c>
      <c r="G20" s="8" t="s">
        <v>138</v>
      </c>
      <c r="H20" s="7" t="n">
        <v>10</v>
      </c>
      <c r="I20" s="7" t="s">
        <v>151</v>
      </c>
      <c r="J20" s="8" t="s">
        <v>110</v>
      </c>
      <c r="K20" s="8" t="s">
        <v>98</v>
      </c>
      <c r="L20" s="12"/>
      <c r="M20" s="12"/>
    </row>
    <row r="21" customFormat="false" ht="57.45" hidden="false" customHeight="false" outlineLevel="0" collapsed="false">
      <c r="A21" s="7" t="s">
        <v>177</v>
      </c>
      <c r="B21" s="8" t="s">
        <v>178</v>
      </c>
      <c r="C21" s="7" t="s">
        <v>87</v>
      </c>
      <c r="D21" s="8" t="s">
        <v>179</v>
      </c>
      <c r="E21" s="8" t="s">
        <v>180</v>
      </c>
      <c r="F21" s="8" t="s">
        <v>181</v>
      </c>
      <c r="G21" s="8" t="s">
        <v>138</v>
      </c>
      <c r="H21" s="7" t="n">
        <v>10</v>
      </c>
      <c r="I21" s="7" t="s">
        <v>156</v>
      </c>
      <c r="J21" s="8"/>
      <c r="K21" s="8" t="s">
        <v>98</v>
      </c>
      <c r="L21" s="12"/>
      <c r="M21" s="12"/>
    </row>
    <row r="22" customFormat="false" ht="35.05" hidden="false" customHeight="false" outlineLevel="0" collapsed="false">
      <c r="A22" s="7" t="s">
        <v>182</v>
      </c>
      <c r="B22" s="8" t="s">
        <v>183</v>
      </c>
      <c r="C22" s="7" t="s">
        <v>87</v>
      </c>
      <c r="D22" s="8" t="s">
        <v>184</v>
      </c>
      <c r="E22" s="8" t="s">
        <v>185</v>
      </c>
      <c r="F22" s="8" t="s">
        <v>186</v>
      </c>
      <c r="G22" s="8" t="s">
        <v>138</v>
      </c>
      <c r="H22" s="7" t="n">
        <v>10</v>
      </c>
      <c r="I22" s="7" t="s">
        <v>163</v>
      </c>
      <c r="J22" s="8"/>
      <c r="K22" s="8" t="s">
        <v>187</v>
      </c>
      <c r="L22" s="12"/>
      <c r="M22" s="12"/>
    </row>
    <row r="23" customFormat="false" ht="23.85" hidden="false" customHeight="false" outlineLevel="0" collapsed="false">
      <c r="A23" s="7" t="s">
        <v>188</v>
      </c>
      <c r="B23" s="8" t="s">
        <v>189</v>
      </c>
      <c r="C23" s="7" t="s">
        <v>87</v>
      </c>
      <c r="D23" s="8" t="s">
        <v>190</v>
      </c>
      <c r="E23" s="8" t="s">
        <v>191</v>
      </c>
      <c r="F23" s="8" t="s">
        <v>192</v>
      </c>
      <c r="G23" s="8" t="s">
        <v>138</v>
      </c>
      <c r="H23" s="7" t="n">
        <v>10</v>
      </c>
      <c r="I23" s="7" t="s">
        <v>172</v>
      </c>
      <c r="J23" s="8"/>
      <c r="K23" s="8" t="s">
        <v>193</v>
      </c>
      <c r="L23" s="12"/>
      <c r="M23" s="12"/>
    </row>
    <row r="24" customFormat="false" ht="23.85" hidden="false" customHeight="false" outlineLevel="0" collapsed="false">
      <c r="A24" s="7" t="s">
        <v>194</v>
      </c>
      <c r="B24" s="8" t="s">
        <v>195</v>
      </c>
      <c r="C24" s="7" t="s">
        <v>87</v>
      </c>
      <c r="D24" s="8" t="s">
        <v>196</v>
      </c>
      <c r="E24" s="8" t="s">
        <v>197</v>
      </c>
      <c r="F24" s="8" t="s">
        <v>198</v>
      </c>
      <c r="G24" s="8" t="s">
        <v>138</v>
      </c>
      <c r="H24" s="7" t="n">
        <v>10</v>
      </c>
      <c r="I24" s="7" t="s">
        <v>177</v>
      </c>
      <c r="J24" s="8" t="s">
        <v>110</v>
      </c>
      <c r="K24" s="8" t="s">
        <v>199</v>
      </c>
      <c r="L24" s="12"/>
      <c r="M24" s="12"/>
    </row>
    <row r="25" customFormat="false" ht="23.85" hidden="false" customHeight="false" outlineLevel="0" collapsed="false">
      <c r="A25" s="7" t="s">
        <v>200</v>
      </c>
      <c r="B25" s="8" t="s">
        <v>201</v>
      </c>
      <c r="C25" s="7" t="s">
        <v>202</v>
      </c>
      <c r="D25" s="8" t="s">
        <v>203</v>
      </c>
      <c r="E25" s="8" t="s">
        <v>204</v>
      </c>
      <c r="F25" s="8" t="s">
        <v>205</v>
      </c>
      <c r="G25" s="8" t="s">
        <v>206</v>
      </c>
      <c r="H25" s="7" t="n">
        <v>13</v>
      </c>
      <c r="I25" s="7" t="s">
        <v>182</v>
      </c>
      <c r="J25" s="8" t="s">
        <v>207</v>
      </c>
      <c r="K25" s="8" t="s">
        <v>208</v>
      </c>
      <c r="L25" s="12"/>
      <c r="M25" s="12"/>
    </row>
    <row r="26" customFormat="false" ht="23.85" hidden="false" customHeight="false" outlineLevel="0" collapsed="false">
      <c r="A26" s="7" t="s">
        <v>209</v>
      </c>
      <c r="B26" s="8" t="s">
        <v>210</v>
      </c>
      <c r="C26" s="7" t="s">
        <v>202</v>
      </c>
      <c r="D26" s="8" t="s">
        <v>211</v>
      </c>
      <c r="E26" s="8" t="s">
        <v>212</v>
      </c>
      <c r="F26" s="8" t="s">
        <v>213</v>
      </c>
      <c r="G26" s="8" t="s">
        <v>206</v>
      </c>
      <c r="H26" s="7" t="n">
        <v>10</v>
      </c>
      <c r="I26" s="7" t="s">
        <v>188</v>
      </c>
      <c r="J26" s="8"/>
      <c r="K26" s="8" t="s">
        <v>98</v>
      </c>
      <c r="L26" s="12"/>
      <c r="M26" s="12"/>
    </row>
    <row r="27" customFormat="false" ht="23.85" hidden="false" customHeight="false" outlineLevel="0" collapsed="false">
      <c r="A27" s="7" t="s">
        <v>214</v>
      </c>
      <c r="B27" s="8" t="s">
        <v>215</v>
      </c>
      <c r="C27" s="7" t="s">
        <v>202</v>
      </c>
      <c r="D27" s="8" t="s">
        <v>216</v>
      </c>
      <c r="E27" s="8" t="s">
        <v>217</v>
      </c>
      <c r="F27" s="8" t="s">
        <v>218</v>
      </c>
      <c r="G27" s="8" t="s">
        <v>206</v>
      </c>
      <c r="H27" s="7" t="n">
        <v>13</v>
      </c>
      <c r="I27" s="7" t="s">
        <v>194</v>
      </c>
      <c r="J27" s="8" t="s">
        <v>219</v>
      </c>
      <c r="K27" s="8" t="s">
        <v>220</v>
      </c>
      <c r="L27" s="12"/>
      <c r="M27" s="12"/>
    </row>
    <row r="28" customFormat="false" ht="35.05" hidden="false" customHeight="false" outlineLevel="0" collapsed="false">
      <c r="A28" s="7" t="s">
        <v>221</v>
      </c>
      <c r="B28" s="8" t="s">
        <v>222</v>
      </c>
      <c r="C28" s="7" t="s">
        <v>202</v>
      </c>
      <c r="D28" s="8" t="s">
        <v>223</v>
      </c>
      <c r="E28" s="8" t="s">
        <v>224</v>
      </c>
      <c r="F28" s="8" t="s">
        <v>225</v>
      </c>
      <c r="G28" s="8" t="s">
        <v>206</v>
      </c>
      <c r="H28" s="7" t="n">
        <v>10</v>
      </c>
      <c r="I28" s="7" t="s">
        <v>45</v>
      </c>
      <c r="J28" s="8" t="s">
        <v>110</v>
      </c>
      <c r="K28" s="8" t="s">
        <v>226</v>
      </c>
      <c r="L28" s="12"/>
      <c r="M28" s="12"/>
    </row>
    <row r="29" customFormat="false" ht="23.85" hidden="false" customHeight="false" outlineLevel="0" collapsed="false">
      <c r="A29" s="7" t="s">
        <v>227</v>
      </c>
      <c r="B29" s="8" t="s">
        <v>228</v>
      </c>
      <c r="C29" s="7" t="s">
        <v>202</v>
      </c>
      <c r="D29" s="8" t="s">
        <v>229</v>
      </c>
      <c r="E29" s="8" t="s">
        <v>230</v>
      </c>
      <c r="F29" s="8" t="s">
        <v>231</v>
      </c>
      <c r="G29" s="8" t="s">
        <v>206</v>
      </c>
      <c r="H29" s="7" t="n">
        <v>13</v>
      </c>
      <c r="I29" s="7" t="s">
        <v>45</v>
      </c>
      <c r="J29" s="8" t="s">
        <v>232</v>
      </c>
      <c r="K29" s="8" t="s">
        <v>233</v>
      </c>
      <c r="L29" s="12"/>
      <c r="M29" s="12"/>
    </row>
    <row r="30" customFormat="false" ht="23.85" hidden="false" customHeight="true" outlineLevel="0" collapsed="false">
      <c r="A30" s="7" t="s">
        <v>234</v>
      </c>
      <c r="B30" s="8" t="s">
        <v>235</v>
      </c>
      <c r="C30" s="7" t="s">
        <v>236</v>
      </c>
      <c r="D30" s="8" t="s">
        <v>237</v>
      </c>
      <c r="E30" s="8"/>
      <c r="F30" s="8"/>
      <c r="G30" s="8" t="s">
        <v>238</v>
      </c>
      <c r="H30" s="7" t="n">
        <v>6</v>
      </c>
      <c r="I30" s="7" t="s">
        <v>45</v>
      </c>
      <c r="J30" s="8"/>
      <c r="K30" s="8" t="s">
        <v>239</v>
      </c>
      <c r="L30" s="12"/>
      <c r="M30" s="12"/>
    </row>
    <row r="32" customFormat="false" ht="15" hidden="false" customHeight="false" outlineLevel="0" collapsed="false">
      <c r="A32" s="15" t="s">
        <v>240</v>
      </c>
      <c r="B32" s="15"/>
      <c r="C32" s="15"/>
      <c r="D32" s="15"/>
      <c r="E32" s="15"/>
      <c r="F32" s="15"/>
      <c r="G32" s="15"/>
      <c r="H32" s="16" t="n">
        <f aca="false">SUM(H5:H30)</f>
        <v>255</v>
      </c>
    </row>
  </sheetData>
  <mergeCells count="4">
    <mergeCell ref="D12:F12"/>
    <mergeCell ref="D19:F19"/>
    <mergeCell ref="D30:F30"/>
    <mergeCell ref="A32:G32"/>
  </mergeCells>
  <conditionalFormatting sqref="L5:L30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"Atrasada"</formula>
    </cfRule>
  </conditionalFormatting>
  <dataValidations count="1">
    <dataValidation allowBlank="true" errorStyle="stop" operator="between" showDropDown="false" showErrorMessage="false" showInputMessage="false" sqref="L5:L30" type="list">
      <formula1>"Não iniciada,Em andamento,Concluída,Atrasada"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12" min="3" style="0" width="7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8" min="16" style="0" width="12"/>
  </cols>
  <sheetData>
    <row r="1" customFormat="false" ht="19.7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4" customFormat="false" ht="35.05" hidden="false" customHeight="false" outlineLevel="0" collapsed="false">
      <c r="A4" s="6" t="s">
        <v>75</v>
      </c>
      <c r="B4" s="6" t="s">
        <v>76</v>
      </c>
      <c r="C4" s="6" t="s">
        <v>243</v>
      </c>
      <c r="D4" s="6" t="s">
        <v>244</v>
      </c>
      <c r="E4" s="6" t="s">
        <v>245</v>
      </c>
      <c r="F4" s="6" t="s">
        <v>246</v>
      </c>
      <c r="G4" s="6" t="s">
        <v>247</v>
      </c>
      <c r="H4" s="6" t="s">
        <v>248</v>
      </c>
      <c r="I4" s="6" t="s">
        <v>249</v>
      </c>
      <c r="J4" s="6" t="s">
        <v>250</v>
      </c>
      <c r="K4" s="6" t="s">
        <v>251</v>
      </c>
      <c r="L4" s="6" t="s">
        <v>252</v>
      </c>
      <c r="M4" s="6" t="s">
        <v>253</v>
      </c>
      <c r="N4" s="6" t="s">
        <v>254</v>
      </c>
      <c r="O4" s="6" t="s">
        <v>255</v>
      </c>
      <c r="P4" s="6" t="s">
        <v>256</v>
      </c>
      <c r="Q4" s="6" t="s">
        <v>257</v>
      </c>
      <c r="R4" s="6" t="s">
        <v>258</v>
      </c>
    </row>
    <row r="5" customFormat="false" ht="15" hidden="false" customHeight="false" outlineLevel="0" collapsed="false">
      <c r="A5" s="7" t="s">
        <v>85</v>
      </c>
      <c r="B5" s="7" t="s">
        <v>86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7" t="n">
        <v>10</v>
      </c>
      <c r="N5" s="7" t="n">
        <f aca="false">COUNTIF(C5:L5,"✓")</f>
        <v>0</v>
      </c>
      <c r="O5" s="18" t="str">
        <f aca="false">IF(N5=0,"",N5/M5)</f>
        <v/>
      </c>
      <c r="P5" s="17"/>
      <c r="Q5" s="17"/>
      <c r="R5" s="17"/>
    </row>
    <row r="6" customFormat="false" ht="15" hidden="false" customHeight="false" outlineLevel="0" collapsed="false">
      <c r="A6" s="7" t="s">
        <v>93</v>
      </c>
      <c r="B6" s="7" t="s">
        <v>94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7" t="n">
        <v>10</v>
      </c>
      <c r="N6" s="7" t="n">
        <f aca="false">COUNTIF(C6:L6,"✓")</f>
        <v>0</v>
      </c>
      <c r="O6" s="18" t="str">
        <f aca="false">IF(N6=0,"",N6/M6)</f>
        <v/>
      </c>
      <c r="P6" s="17"/>
      <c r="Q6" s="17"/>
      <c r="R6" s="17"/>
    </row>
    <row r="7" customFormat="false" ht="15" hidden="false" customHeight="false" outlineLevel="0" collapsed="false">
      <c r="A7" s="7" t="s">
        <v>99</v>
      </c>
      <c r="B7" s="7" t="s">
        <v>100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7" t="n">
        <v>10</v>
      </c>
      <c r="N7" s="7" t="n">
        <f aca="false">COUNTIF(C7:L7,"✓")</f>
        <v>0</v>
      </c>
      <c r="O7" s="18" t="str">
        <f aca="false">IF(N7=0,"",N7/M7)</f>
        <v/>
      </c>
      <c r="P7" s="17"/>
      <c r="Q7" s="17"/>
      <c r="R7" s="17"/>
    </row>
    <row r="8" customFormat="false" ht="15" hidden="false" customHeight="false" outlineLevel="0" collapsed="false">
      <c r="A8" s="7" t="s">
        <v>105</v>
      </c>
      <c r="B8" s="7" t="s">
        <v>106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7" t="n">
        <v>10</v>
      </c>
      <c r="N8" s="7" t="n">
        <f aca="false">COUNTIF(C8:L8,"✓")</f>
        <v>0</v>
      </c>
      <c r="O8" s="18" t="str">
        <f aca="false">IF(N8=0,"",N8/M8)</f>
        <v/>
      </c>
      <c r="P8" s="17"/>
      <c r="Q8" s="17"/>
      <c r="R8" s="17"/>
    </row>
    <row r="9" customFormat="false" ht="15" hidden="false" customHeight="false" outlineLevel="0" collapsed="false">
      <c r="A9" s="7" t="s">
        <v>112</v>
      </c>
      <c r="B9" s="7" t="s">
        <v>113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7" t="n">
        <v>10</v>
      </c>
      <c r="N9" s="7" t="n">
        <f aca="false">COUNTIF(C9:L9,"✓")</f>
        <v>0</v>
      </c>
      <c r="O9" s="18" t="str">
        <f aca="false">IF(N9=0,"",N9/M9)</f>
        <v/>
      </c>
      <c r="P9" s="17"/>
      <c r="Q9" s="17"/>
      <c r="R9" s="17"/>
    </row>
    <row r="10" customFormat="false" ht="15" hidden="false" customHeight="false" outlineLevel="0" collapsed="false">
      <c r="A10" s="7" t="s">
        <v>117</v>
      </c>
      <c r="B10" s="7" t="s">
        <v>118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7" t="n">
        <v>10</v>
      </c>
      <c r="N10" s="7" t="n">
        <f aca="false">COUNTIF(C10:L10,"✓")</f>
        <v>0</v>
      </c>
      <c r="O10" s="18" t="str">
        <f aca="false">IF(N10=0,"",N10/M10)</f>
        <v/>
      </c>
      <c r="P10" s="17"/>
      <c r="Q10" s="17"/>
      <c r="R10" s="17"/>
    </row>
    <row r="11" customFormat="false" ht="15" hidden="false" customHeight="false" outlineLevel="0" collapsed="false">
      <c r="A11" s="7" t="s">
        <v>123</v>
      </c>
      <c r="B11" s="7" t="s">
        <v>124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 t="n">
        <v>10</v>
      </c>
      <c r="N11" s="7" t="n">
        <f aca="false">COUNTIF(C11:L11,"✓")</f>
        <v>0</v>
      </c>
      <c r="O11" s="18" t="str">
        <f aca="false">IF(N11=0,"",N11/M11)</f>
        <v/>
      </c>
      <c r="P11" s="17"/>
      <c r="Q11" s="17"/>
      <c r="R11" s="17"/>
    </row>
    <row r="12" customFormat="false" ht="15" hidden="false" customHeight="false" outlineLevel="0" collapsed="false">
      <c r="A12" s="7" t="s">
        <v>129</v>
      </c>
      <c r="B12" s="7" t="s">
        <v>130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7" t="n">
        <v>5</v>
      </c>
      <c r="N12" s="7" t="n">
        <f aca="false">COUNTIF(C12:L12,"✓")</f>
        <v>0</v>
      </c>
      <c r="O12" s="18" t="str">
        <f aca="false">IF(N12=0,"",N12/M12)</f>
        <v/>
      </c>
      <c r="P12" s="17"/>
      <c r="Q12" s="17"/>
      <c r="R12" s="17"/>
    </row>
    <row r="13" customFormat="false" ht="15" hidden="false" customHeight="false" outlineLevel="0" collapsed="false">
      <c r="A13" s="7" t="s">
        <v>133</v>
      </c>
      <c r="B13" s="7" t="s">
        <v>134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7" t="n">
        <v>10</v>
      </c>
      <c r="N13" s="7" t="n">
        <f aca="false">COUNTIF(C13:L13,"✓")</f>
        <v>0</v>
      </c>
      <c r="O13" s="18" t="str">
        <f aca="false">IF(N13=0,"",N13/M13)</f>
        <v/>
      </c>
      <c r="P13" s="17"/>
      <c r="Q13" s="17"/>
      <c r="R13" s="17"/>
    </row>
    <row r="14" customFormat="false" ht="15" hidden="false" customHeight="false" outlineLevel="0" collapsed="false">
      <c r="A14" s="7" t="s">
        <v>140</v>
      </c>
      <c r="B14" s="7" t="s">
        <v>141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 t="n">
        <v>10</v>
      </c>
      <c r="N14" s="7" t="n">
        <f aca="false">COUNTIF(C14:L14,"✓")</f>
        <v>0</v>
      </c>
      <c r="O14" s="18" t="str">
        <f aca="false">IF(N14=0,"",N14/M14)</f>
        <v/>
      </c>
      <c r="P14" s="17"/>
      <c r="Q14" s="17"/>
      <c r="R14" s="17"/>
    </row>
    <row r="15" customFormat="false" ht="15" hidden="false" customHeight="false" outlineLevel="0" collapsed="false">
      <c r="A15" s="7" t="s">
        <v>145</v>
      </c>
      <c r="B15" s="7" t="s">
        <v>146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 t="n">
        <v>10</v>
      </c>
      <c r="N15" s="7" t="n">
        <f aca="false">COUNTIF(C15:L15,"✓")</f>
        <v>0</v>
      </c>
      <c r="O15" s="18" t="str">
        <f aca="false">IF(N15=0,"",N15/M15)</f>
        <v/>
      </c>
      <c r="P15" s="17"/>
      <c r="Q15" s="17"/>
      <c r="R15" s="17"/>
    </row>
    <row r="16" customFormat="false" ht="15" hidden="false" customHeight="false" outlineLevel="0" collapsed="false">
      <c r="A16" s="7" t="s">
        <v>151</v>
      </c>
      <c r="B16" s="7" t="s">
        <v>152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7" t="n">
        <v>10</v>
      </c>
      <c r="N16" s="7" t="n">
        <f aca="false">COUNTIF(C16:L16,"✓")</f>
        <v>0</v>
      </c>
      <c r="O16" s="18" t="str">
        <f aca="false">IF(N16=0,"",N16/M16)</f>
        <v/>
      </c>
      <c r="P16" s="17"/>
      <c r="Q16" s="17"/>
      <c r="R16" s="17"/>
    </row>
    <row r="17" customFormat="false" ht="15" hidden="false" customHeight="false" outlineLevel="0" collapsed="false">
      <c r="A17" s="7" t="s">
        <v>156</v>
      </c>
      <c r="B17" s="7" t="s">
        <v>157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7" t="n">
        <v>10</v>
      </c>
      <c r="N17" s="7" t="n">
        <f aca="false">COUNTIF(C17:L17,"✓")</f>
        <v>0</v>
      </c>
      <c r="O17" s="18" t="str">
        <f aca="false">IF(N17=0,"",N17/M17)</f>
        <v/>
      </c>
      <c r="P17" s="17"/>
      <c r="Q17" s="17"/>
      <c r="R17" s="17"/>
    </row>
    <row r="18" customFormat="false" ht="15" hidden="false" customHeight="false" outlineLevel="0" collapsed="false">
      <c r="A18" s="7" t="s">
        <v>163</v>
      </c>
      <c r="B18" s="7" t="s">
        <v>164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7" t="n">
        <v>10</v>
      </c>
      <c r="N18" s="7" t="n">
        <f aca="false">COUNTIF(C18:L18,"✓")</f>
        <v>0</v>
      </c>
      <c r="O18" s="18" t="str">
        <f aca="false">IF(N18=0,"",N18/M18)</f>
        <v/>
      </c>
      <c r="P18" s="17"/>
      <c r="Q18" s="17"/>
      <c r="R18" s="17"/>
    </row>
    <row r="19" customFormat="false" ht="15" hidden="false" customHeight="false" outlineLevel="0" collapsed="false">
      <c r="A19" s="7" t="s">
        <v>169</v>
      </c>
      <c r="B19" s="7" t="s">
        <v>170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7" t="n">
        <v>5</v>
      </c>
      <c r="N19" s="7" t="n">
        <f aca="false">COUNTIF(C19:L19,"✓")</f>
        <v>0</v>
      </c>
      <c r="O19" s="18" t="str">
        <f aca="false">IF(N19=0,"",N19/M19)</f>
        <v/>
      </c>
      <c r="P19" s="17"/>
      <c r="Q19" s="17"/>
      <c r="R19" s="17"/>
    </row>
    <row r="20" customFormat="false" ht="15" hidden="false" customHeight="false" outlineLevel="0" collapsed="false">
      <c r="A20" s="7" t="s">
        <v>172</v>
      </c>
      <c r="B20" s="7" t="s">
        <v>173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7" t="n">
        <v>10</v>
      </c>
      <c r="N20" s="7" t="n">
        <f aca="false">COUNTIF(C20:L20,"✓")</f>
        <v>0</v>
      </c>
      <c r="O20" s="18" t="str">
        <f aca="false">IF(N20=0,"",N20/M20)</f>
        <v/>
      </c>
      <c r="P20" s="17"/>
      <c r="Q20" s="17"/>
      <c r="R20" s="17"/>
    </row>
    <row r="21" customFormat="false" ht="15" hidden="false" customHeight="false" outlineLevel="0" collapsed="false">
      <c r="A21" s="7" t="s">
        <v>177</v>
      </c>
      <c r="B21" s="7" t="s">
        <v>178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7" t="n">
        <v>10</v>
      </c>
      <c r="N21" s="7" t="n">
        <f aca="false">COUNTIF(C21:L21,"✓")</f>
        <v>0</v>
      </c>
      <c r="O21" s="18" t="str">
        <f aca="false">IF(N21=0,"",N21/M21)</f>
        <v/>
      </c>
      <c r="P21" s="17"/>
      <c r="Q21" s="17"/>
      <c r="R21" s="17"/>
    </row>
    <row r="22" customFormat="false" ht="15" hidden="false" customHeight="false" outlineLevel="0" collapsed="false">
      <c r="A22" s="7" t="s">
        <v>182</v>
      </c>
      <c r="B22" s="7" t="s">
        <v>183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7" t="n">
        <v>10</v>
      </c>
      <c r="N22" s="7" t="n">
        <f aca="false">COUNTIF(C22:L22,"✓")</f>
        <v>0</v>
      </c>
      <c r="O22" s="18" t="str">
        <f aca="false">IF(N22=0,"",N22/M22)</f>
        <v/>
      </c>
      <c r="P22" s="17"/>
      <c r="Q22" s="17"/>
      <c r="R22" s="17"/>
    </row>
    <row r="23" customFormat="false" ht="15" hidden="false" customHeight="false" outlineLevel="0" collapsed="false">
      <c r="A23" s="7" t="s">
        <v>188</v>
      </c>
      <c r="B23" s="7" t="s">
        <v>189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7" t="n">
        <v>10</v>
      </c>
      <c r="N23" s="7" t="n">
        <f aca="false">COUNTIF(C23:L23,"✓")</f>
        <v>0</v>
      </c>
      <c r="O23" s="18" t="str">
        <f aca="false">IF(N23=0,"",N23/M23)</f>
        <v/>
      </c>
      <c r="P23" s="17"/>
      <c r="Q23" s="17"/>
      <c r="R23" s="17"/>
    </row>
    <row r="24" customFormat="false" ht="15" hidden="false" customHeight="false" outlineLevel="0" collapsed="false">
      <c r="A24" s="7" t="s">
        <v>194</v>
      </c>
      <c r="B24" s="7" t="s">
        <v>195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7" t="n">
        <v>10</v>
      </c>
      <c r="N24" s="7" t="n">
        <f aca="false">COUNTIF(C24:L24,"✓")</f>
        <v>0</v>
      </c>
      <c r="O24" s="18" t="str">
        <f aca="false">IF(N24=0,"",N24/M24)</f>
        <v/>
      </c>
      <c r="P24" s="17"/>
      <c r="Q24" s="17"/>
      <c r="R24" s="17"/>
    </row>
    <row r="25" customFormat="false" ht="15" hidden="false" customHeight="false" outlineLevel="0" collapsed="false">
      <c r="A25" s="7" t="s">
        <v>200</v>
      </c>
      <c r="B25" s="7" t="s">
        <v>201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7" t="n">
        <v>10</v>
      </c>
      <c r="N25" s="7" t="n">
        <f aca="false">COUNTIF(C25:L25,"✓")</f>
        <v>0</v>
      </c>
      <c r="O25" s="18" t="str">
        <f aca="false">IF(N25=0,"",N25/M25)</f>
        <v/>
      </c>
      <c r="P25" s="17"/>
      <c r="Q25" s="17"/>
      <c r="R25" s="17"/>
    </row>
    <row r="26" customFormat="false" ht="15" hidden="false" customHeight="false" outlineLevel="0" collapsed="false">
      <c r="A26" s="7" t="s">
        <v>209</v>
      </c>
      <c r="B26" s="7" t="s">
        <v>210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7" t="n">
        <v>10</v>
      </c>
      <c r="N26" s="7" t="n">
        <f aca="false">COUNTIF(C26:L26,"✓")</f>
        <v>0</v>
      </c>
      <c r="O26" s="18" t="str">
        <f aca="false">IF(N26=0,"",N26/M26)</f>
        <v/>
      </c>
      <c r="P26" s="17"/>
      <c r="Q26" s="17"/>
      <c r="R26" s="17"/>
    </row>
    <row r="27" customFormat="false" ht="15" hidden="false" customHeight="false" outlineLevel="0" collapsed="false">
      <c r="A27" s="7" t="s">
        <v>214</v>
      </c>
      <c r="B27" s="7" t="s">
        <v>215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7" t="n">
        <v>10</v>
      </c>
      <c r="N27" s="7" t="n">
        <f aca="false">COUNTIF(C27:L27,"✓")</f>
        <v>0</v>
      </c>
      <c r="O27" s="18" t="str">
        <f aca="false">IF(N27=0,"",N27/M27)</f>
        <v/>
      </c>
      <c r="P27" s="17"/>
      <c r="Q27" s="17"/>
      <c r="R27" s="17"/>
    </row>
    <row r="28" customFormat="false" ht="15" hidden="false" customHeight="false" outlineLevel="0" collapsed="false">
      <c r="A28" s="7" t="s">
        <v>221</v>
      </c>
      <c r="B28" s="7" t="s">
        <v>222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7" t="n">
        <v>10</v>
      </c>
      <c r="N28" s="7" t="n">
        <f aca="false">COUNTIF(C28:L28,"✓")</f>
        <v>0</v>
      </c>
      <c r="O28" s="18" t="str">
        <f aca="false">IF(N28=0,"",N28/M28)</f>
        <v/>
      </c>
      <c r="P28" s="17"/>
      <c r="Q28" s="17"/>
      <c r="R28" s="17"/>
    </row>
    <row r="29" customFormat="false" ht="15" hidden="false" customHeight="false" outlineLevel="0" collapsed="false">
      <c r="A29" s="7" t="s">
        <v>227</v>
      </c>
      <c r="B29" s="7" t="s">
        <v>228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7" t="n">
        <v>10</v>
      </c>
      <c r="N29" s="7" t="n">
        <f aca="false">COUNTIF(C29:L29,"✓")</f>
        <v>0</v>
      </c>
      <c r="O29" s="18" t="str">
        <f aca="false">IF(N29=0,"",N29/M29)</f>
        <v/>
      </c>
      <c r="P29" s="17"/>
      <c r="Q29" s="17"/>
      <c r="R29" s="17"/>
    </row>
    <row r="30" customFormat="false" ht="15" hidden="false" customHeight="false" outlineLevel="0" collapsed="false">
      <c r="A30" s="7" t="s">
        <v>234</v>
      </c>
      <c r="B30" s="7" t="s">
        <v>235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7" t="n">
        <v>6</v>
      </c>
      <c r="N30" s="7" t="n">
        <f aca="false">COUNTIF(C30:L30,"✓")</f>
        <v>0</v>
      </c>
      <c r="O30" s="18" t="str">
        <f aca="false">IF(N30=0,"",N30/M30)</f>
        <v/>
      </c>
      <c r="P30" s="17"/>
      <c r="Q30" s="17"/>
      <c r="R30" s="17"/>
    </row>
  </sheetData>
  <conditionalFormatting sqref="C5:L30">
    <cfRule type="cellIs" priority="2" operator="equal" aboveAverage="0" equalAverage="0" bottom="0" percent="0" rank="0" text="" dxfId="0">
      <formula>"✓"</formula>
    </cfRule>
  </conditionalFormatting>
  <conditionalFormatting sqref="O5:O30">
    <cfRule type="expression" priority="3" aboveAverage="0" equalAverage="0" bottom="0" percent="0" rank="0" text="" dxfId="1">
      <formula>AND(ISNUMBER(O5),O5&lt;0.8)</formula>
    </cfRule>
  </conditionalFormatting>
  <dataValidations count="3">
    <dataValidation allowBlank="true" errorStyle="stop" operator="between" showDropDown="false" showErrorMessage="false" showInputMessage="false" sqref="C5:L30" type="list">
      <formula1>"✓"</formula1>
      <formula2>0</formula2>
    </dataValidation>
    <dataValidation allowBlank="true" errorStyle="stop" operator="between" showDropDown="false" showErrorMessage="false" showInputMessage="false" sqref="P5:P30" type="list">
      <formula1>"0,1,2,3,4,5"</formula1>
      <formula2>0</formula2>
    </dataValidation>
    <dataValidation allowBlank="true" errorStyle="stop" operator="between" showDropDown="false" showErrorMessage="false" showInputMessage="false" sqref="Q5:R3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1" min="10" style="0" width="10"/>
    <col collapsed="false" customWidth="true" hidden="false" outlineLevel="0" max="14" min="12" style="0" width="9"/>
    <col collapsed="false" customWidth="true" hidden="false" outlineLevel="0" max="15" min="15" style="0" width="13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3" customFormat="false" ht="15" hidden="false" customHeight="false" outlineLevel="0" collapsed="false">
      <c r="A3" s="19" t="s">
        <v>261</v>
      </c>
      <c r="B3" s="20" t="n">
        <f aca="false">COUNTIF(O7:O57,"Concluído")/51</f>
        <v>0</v>
      </c>
      <c r="C3" s="16" t="s">
        <v>262</v>
      </c>
      <c r="D3" s="18" t="n">
        <f aca="false">COUNTIFS(A7:A57,"Medicina Legal",O7:O57,"Concluído")/COUNTIF(A7:A57,"Medicina Legal")</f>
        <v>0</v>
      </c>
      <c r="E3" s="16" t="s">
        <v>263</v>
      </c>
      <c r="F3" s="18" t="n">
        <f aca="false">COUNTIFS(A7:A57,"Português",O7:O57,"Concluído")/COUNTIF(A7:A57,"Português")</f>
        <v>0</v>
      </c>
      <c r="G3" s="16" t="s">
        <v>264</v>
      </c>
      <c r="H3" s="18" t="n">
        <f aca="false">COUNTIFS(A7:A57,"Direito",O7:O57,"Concluído")/COUNTIF(A7:A57,"Direito")</f>
        <v>0</v>
      </c>
    </row>
    <row r="4" customFormat="false" ht="23.85" hidden="false" customHeight="true" outlineLevel="0" collapsed="false">
      <c r="A4" s="19" t="s">
        <v>265</v>
      </c>
      <c r="B4" s="16" t="n">
        <f aca="false">COUNTIF(P7:P57,"PENDENTE")</f>
        <v>0</v>
      </c>
      <c r="C4" s="19" t="s">
        <v>266</v>
      </c>
      <c r="D4" s="19"/>
      <c r="E4" s="16" t="n">
        <f aca="false">COUNTIF(O7:O57,"Atrasado")</f>
        <v>0</v>
      </c>
    </row>
    <row r="6" customFormat="false" ht="23.85" hidden="false" customHeight="false" outlineLevel="0" collapsed="false">
      <c r="A6" s="6" t="s">
        <v>31</v>
      </c>
      <c r="B6" s="6" t="s">
        <v>267</v>
      </c>
      <c r="C6" s="6" t="s">
        <v>268</v>
      </c>
      <c r="D6" s="6" t="s">
        <v>269</v>
      </c>
      <c r="E6" s="6" t="s">
        <v>270</v>
      </c>
      <c r="F6" s="6" t="s">
        <v>271</v>
      </c>
      <c r="G6" s="6" t="s">
        <v>272</v>
      </c>
      <c r="H6" s="6" t="s">
        <v>273</v>
      </c>
      <c r="I6" s="6" t="s">
        <v>274</v>
      </c>
      <c r="J6" s="6" t="s">
        <v>275</v>
      </c>
      <c r="K6" s="6" t="s">
        <v>276</v>
      </c>
      <c r="L6" s="6" t="s">
        <v>61</v>
      </c>
      <c r="M6" s="6" t="s">
        <v>277</v>
      </c>
      <c r="N6" s="6" t="s">
        <v>278</v>
      </c>
      <c r="O6" s="6" t="s">
        <v>83</v>
      </c>
      <c r="P6" s="6" t="s">
        <v>67</v>
      </c>
    </row>
    <row r="7" customFormat="false" ht="35.05" hidden="false" customHeight="false" outlineLevel="0" collapsed="false">
      <c r="A7" s="8" t="s">
        <v>37</v>
      </c>
      <c r="B7" s="7" t="s">
        <v>279</v>
      </c>
      <c r="C7" s="8" t="s">
        <v>280</v>
      </c>
      <c r="D7" s="7" t="n">
        <v>1</v>
      </c>
      <c r="E7" s="17"/>
      <c r="F7" s="21"/>
      <c r="G7" s="22" t="str">
        <f aca="false">IF(F7="","",F7+1)</f>
        <v/>
      </c>
      <c r="H7" s="22" t="str">
        <f aca="false">IF(F7="","",F7+7)</f>
        <v/>
      </c>
      <c r="I7" s="22" t="str">
        <f aca="false">IF(F7="","",F7+30)</f>
        <v/>
      </c>
      <c r="J7" s="17"/>
      <c r="K7" s="17"/>
      <c r="L7" s="7" t="n">
        <f aca="false">SUMIFS('Registro diário'!$G$6:$G$504,'Registro diário'!$D$6:$D$504,B7)</f>
        <v>0</v>
      </c>
      <c r="M7" s="7" t="n">
        <f aca="false">SUMIFS('Registro diário'!$H$6:$H$504,'Registro diário'!$D$6:$D$504,B7)</f>
        <v>0</v>
      </c>
      <c r="N7" s="18" t="str">
        <f aca="false">IF(L7=0,"",M7/L7)</f>
        <v/>
      </c>
      <c r="O7" s="7" t="str">
        <f aca="true">IF(AND(E7="Sim",L7&gt;0),"Concluído",IF(OR(E7="Sim",L7&gt;0),"Em andamento",IF(TODAY()&gt;DATE(2026,11,2)+7*D7-1,"Atrasado","A fazer")))</f>
        <v>A fazer</v>
      </c>
      <c r="P7" s="7" t="str">
        <f aca="true">IF(F7="","",IF(OR(AND(J7&lt;&gt;"Sim",TODAY()&gt;=H7),AND(K7&lt;&gt;"Sim",TODAY()&gt;=I7)),"PENDENTE","ok"))</f>
        <v/>
      </c>
    </row>
    <row r="8" customFormat="false" ht="23.85" hidden="false" customHeight="false" outlineLevel="0" collapsed="false">
      <c r="A8" s="8" t="s">
        <v>37</v>
      </c>
      <c r="B8" s="7" t="s">
        <v>281</v>
      </c>
      <c r="C8" s="8" t="s">
        <v>282</v>
      </c>
      <c r="D8" s="7" t="n">
        <v>2</v>
      </c>
      <c r="E8" s="17"/>
      <c r="F8" s="21"/>
      <c r="G8" s="22" t="str">
        <f aca="false">IF(F8="","",F8+1)</f>
        <v/>
      </c>
      <c r="H8" s="22" t="str">
        <f aca="false">IF(F8="","",F8+7)</f>
        <v/>
      </c>
      <c r="I8" s="22" t="str">
        <f aca="false">IF(F8="","",F8+30)</f>
        <v/>
      </c>
      <c r="J8" s="17"/>
      <c r="K8" s="17"/>
      <c r="L8" s="7" t="n">
        <f aca="false">SUMIFS('Registro diário'!$G$6:$G$504,'Registro diário'!$D$6:$D$504,B8)</f>
        <v>0</v>
      </c>
      <c r="M8" s="7" t="n">
        <f aca="false">SUMIFS('Registro diário'!$H$6:$H$504,'Registro diário'!$D$6:$D$504,B8)</f>
        <v>0</v>
      </c>
      <c r="N8" s="18" t="str">
        <f aca="false">IF(L8=0,"",M8/L8)</f>
        <v/>
      </c>
      <c r="O8" s="7" t="str">
        <f aca="true">IF(AND(E8="Sim",L8&gt;0),"Concluído",IF(OR(E8="Sim",L8&gt;0),"Em andamento",IF(TODAY()&gt;DATE(2026,11,2)+7*D8-1,"Atrasado","A fazer")))</f>
        <v>A fazer</v>
      </c>
      <c r="P8" s="7" t="str">
        <f aca="true">IF(F8="","",IF(OR(AND(J8&lt;&gt;"Sim",TODAY()&gt;=H8),AND(K8&lt;&gt;"Sim",TODAY()&gt;=I8)),"PENDENTE","ok"))</f>
        <v/>
      </c>
    </row>
    <row r="9" customFormat="false" ht="15" hidden="false" customHeight="false" outlineLevel="0" collapsed="false">
      <c r="A9" s="8" t="s">
        <v>37</v>
      </c>
      <c r="B9" s="7" t="s">
        <v>283</v>
      </c>
      <c r="C9" s="8" t="s">
        <v>284</v>
      </c>
      <c r="D9" s="7" t="n">
        <v>3</v>
      </c>
      <c r="E9" s="17"/>
      <c r="F9" s="21"/>
      <c r="G9" s="22" t="str">
        <f aca="false">IF(F9="","",F9+1)</f>
        <v/>
      </c>
      <c r="H9" s="22" t="str">
        <f aca="false">IF(F9="","",F9+7)</f>
        <v/>
      </c>
      <c r="I9" s="22" t="str">
        <f aca="false">IF(F9="","",F9+30)</f>
        <v/>
      </c>
      <c r="J9" s="17"/>
      <c r="K9" s="17"/>
      <c r="L9" s="7" t="n">
        <f aca="false">SUMIFS('Registro diário'!$G$6:$G$504,'Registro diário'!$D$6:$D$504,B9)</f>
        <v>0</v>
      </c>
      <c r="M9" s="7" t="n">
        <f aca="false">SUMIFS('Registro diário'!$H$6:$H$504,'Registro diário'!$D$6:$D$504,B9)</f>
        <v>0</v>
      </c>
      <c r="N9" s="18" t="str">
        <f aca="false">IF(L9=0,"",M9/L9)</f>
        <v/>
      </c>
      <c r="O9" s="7" t="str">
        <f aca="true">IF(AND(E9="Sim",L9&gt;0),"Concluído",IF(OR(E9="Sim",L9&gt;0),"Em andamento",IF(TODAY()&gt;DATE(2026,11,2)+7*D9-1,"Atrasado","A fazer")))</f>
        <v>A fazer</v>
      </c>
      <c r="P9" s="7" t="str">
        <f aca="true">IF(F9="","",IF(OR(AND(J9&lt;&gt;"Sim",TODAY()&gt;=H9),AND(K9&lt;&gt;"Sim",TODAY()&gt;=I9)),"PENDENTE","ok"))</f>
        <v/>
      </c>
    </row>
    <row r="10" customFormat="false" ht="35.05" hidden="false" customHeight="false" outlineLevel="0" collapsed="false">
      <c r="A10" s="8" t="s">
        <v>37</v>
      </c>
      <c r="B10" s="7" t="s">
        <v>285</v>
      </c>
      <c r="C10" s="8" t="s">
        <v>286</v>
      </c>
      <c r="D10" s="7" t="n">
        <v>4</v>
      </c>
      <c r="E10" s="17"/>
      <c r="F10" s="21"/>
      <c r="G10" s="22" t="str">
        <f aca="false">IF(F10="","",F10+1)</f>
        <v/>
      </c>
      <c r="H10" s="22" t="str">
        <f aca="false">IF(F10="","",F10+7)</f>
        <v/>
      </c>
      <c r="I10" s="22" t="str">
        <f aca="false">IF(F10="","",F10+30)</f>
        <v/>
      </c>
      <c r="J10" s="17"/>
      <c r="K10" s="17"/>
      <c r="L10" s="7" t="n">
        <f aca="false">SUMIFS('Registro diário'!$G$6:$G$504,'Registro diário'!$D$6:$D$504,B10)</f>
        <v>0</v>
      </c>
      <c r="M10" s="7" t="n">
        <f aca="false">SUMIFS('Registro diário'!$H$6:$H$504,'Registro diário'!$D$6:$D$504,B10)</f>
        <v>0</v>
      </c>
      <c r="N10" s="18" t="str">
        <f aca="false">IF(L10=0,"",M10/L10)</f>
        <v/>
      </c>
      <c r="O10" s="7" t="str">
        <f aca="true">IF(AND(E10="Sim",L10&gt;0),"Concluído",IF(OR(E10="Sim",L10&gt;0),"Em andamento",IF(TODAY()&gt;DATE(2026,11,2)+7*D10-1,"Atrasado","A fazer")))</f>
        <v>A fazer</v>
      </c>
      <c r="P10" s="7" t="str">
        <f aca="true">IF(F10="","",IF(OR(AND(J10&lt;&gt;"Sim",TODAY()&gt;=H10),AND(K10&lt;&gt;"Sim",TODAY()&gt;=I10)),"PENDENTE","ok"))</f>
        <v/>
      </c>
    </row>
    <row r="11" customFormat="false" ht="15" hidden="false" customHeight="false" outlineLevel="0" collapsed="false">
      <c r="A11" s="8" t="s">
        <v>37</v>
      </c>
      <c r="B11" s="7" t="s">
        <v>287</v>
      </c>
      <c r="C11" s="8" t="s">
        <v>288</v>
      </c>
      <c r="D11" s="7" t="n">
        <v>5</v>
      </c>
      <c r="E11" s="17"/>
      <c r="F11" s="21"/>
      <c r="G11" s="22" t="str">
        <f aca="false">IF(F11="","",F11+1)</f>
        <v/>
      </c>
      <c r="H11" s="22" t="str">
        <f aca="false">IF(F11="","",F11+7)</f>
        <v/>
      </c>
      <c r="I11" s="22" t="str">
        <f aca="false">IF(F11="","",F11+30)</f>
        <v/>
      </c>
      <c r="J11" s="17"/>
      <c r="K11" s="17"/>
      <c r="L11" s="7" t="n">
        <f aca="false">SUMIFS('Registro diário'!$G$6:$G$504,'Registro diário'!$D$6:$D$504,B11)</f>
        <v>0</v>
      </c>
      <c r="M11" s="7" t="n">
        <f aca="false">SUMIFS('Registro diário'!$H$6:$H$504,'Registro diário'!$D$6:$D$504,B11)</f>
        <v>0</v>
      </c>
      <c r="N11" s="18" t="str">
        <f aca="false">IF(L11=0,"",M11/L11)</f>
        <v/>
      </c>
      <c r="O11" s="7" t="str">
        <f aca="true">IF(AND(E11="Sim",L11&gt;0),"Concluído",IF(OR(E11="Sim",L11&gt;0),"Em andamento",IF(TODAY()&gt;DATE(2026,11,2)+7*D11-1,"Atrasado","A fazer")))</f>
        <v>A fazer</v>
      </c>
      <c r="P11" s="7" t="str">
        <f aca="true">IF(F11="","",IF(OR(AND(J11&lt;&gt;"Sim",TODAY()&gt;=H11),AND(K11&lt;&gt;"Sim",TODAY()&gt;=I11)),"PENDENTE","ok"))</f>
        <v/>
      </c>
    </row>
    <row r="12" customFormat="false" ht="23.85" hidden="false" customHeight="false" outlineLevel="0" collapsed="false">
      <c r="A12" s="8" t="s">
        <v>37</v>
      </c>
      <c r="B12" s="7" t="s">
        <v>289</v>
      </c>
      <c r="C12" s="8" t="s">
        <v>290</v>
      </c>
      <c r="D12" s="7" t="n">
        <v>6</v>
      </c>
      <c r="E12" s="17"/>
      <c r="F12" s="21"/>
      <c r="G12" s="22" t="str">
        <f aca="false">IF(F12="","",F12+1)</f>
        <v/>
      </c>
      <c r="H12" s="22" t="str">
        <f aca="false">IF(F12="","",F12+7)</f>
        <v/>
      </c>
      <c r="I12" s="22" t="str">
        <f aca="false">IF(F12="","",F12+30)</f>
        <v/>
      </c>
      <c r="J12" s="17"/>
      <c r="K12" s="17"/>
      <c r="L12" s="7" t="n">
        <f aca="false">SUMIFS('Registro diário'!$G$6:$G$504,'Registro diário'!$D$6:$D$504,B12)</f>
        <v>0</v>
      </c>
      <c r="M12" s="7" t="n">
        <f aca="false">SUMIFS('Registro diário'!$H$6:$H$504,'Registro diário'!$D$6:$D$504,B12)</f>
        <v>0</v>
      </c>
      <c r="N12" s="18" t="str">
        <f aca="false">IF(L12=0,"",M12/L12)</f>
        <v/>
      </c>
      <c r="O12" s="7" t="str">
        <f aca="true">IF(AND(E12="Sim",L12&gt;0),"Concluído",IF(OR(E12="Sim",L12&gt;0),"Em andamento",IF(TODAY()&gt;DATE(2026,11,2)+7*D12-1,"Atrasado","A fazer")))</f>
        <v>A fazer</v>
      </c>
      <c r="P12" s="7" t="str">
        <f aca="true">IF(F12="","",IF(OR(AND(J12&lt;&gt;"Sim",TODAY()&gt;=H12),AND(K12&lt;&gt;"Sim",TODAY()&gt;=I12)),"PENDENTE","ok"))</f>
        <v/>
      </c>
    </row>
    <row r="13" customFormat="false" ht="23.85" hidden="false" customHeight="false" outlineLevel="0" collapsed="false">
      <c r="A13" s="8" t="s">
        <v>37</v>
      </c>
      <c r="B13" s="7" t="s">
        <v>291</v>
      </c>
      <c r="C13" s="8" t="s">
        <v>292</v>
      </c>
      <c r="D13" s="7" t="n">
        <v>7</v>
      </c>
      <c r="E13" s="17"/>
      <c r="F13" s="21"/>
      <c r="G13" s="22" t="str">
        <f aca="false">IF(F13="","",F13+1)</f>
        <v/>
      </c>
      <c r="H13" s="22" t="str">
        <f aca="false">IF(F13="","",F13+7)</f>
        <v/>
      </c>
      <c r="I13" s="22" t="str">
        <f aca="false">IF(F13="","",F13+30)</f>
        <v/>
      </c>
      <c r="J13" s="17"/>
      <c r="K13" s="17"/>
      <c r="L13" s="7" t="n">
        <f aca="false">SUMIFS('Registro diário'!$G$6:$G$504,'Registro diário'!$D$6:$D$504,B13)</f>
        <v>0</v>
      </c>
      <c r="M13" s="7" t="n">
        <f aca="false">SUMIFS('Registro diário'!$H$6:$H$504,'Registro diário'!$D$6:$D$504,B13)</f>
        <v>0</v>
      </c>
      <c r="N13" s="18" t="str">
        <f aca="false">IF(L13=0,"",M13/L13)</f>
        <v/>
      </c>
      <c r="O13" s="7" t="str">
        <f aca="true">IF(AND(E13="Sim",L13&gt;0),"Concluído",IF(OR(E13="Sim",L13&gt;0),"Em andamento",IF(TODAY()&gt;DATE(2026,11,2)+7*D13-1,"Atrasado","A fazer")))</f>
        <v>A fazer</v>
      </c>
      <c r="P13" s="7" t="str">
        <f aca="true">IF(F13="","",IF(OR(AND(J13&lt;&gt;"Sim",TODAY()&gt;=H13),AND(K13&lt;&gt;"Sim",TODAY()&gt;=I13)),"PENDENTE","ok"))</f>
        <v/>
      </c>
    </row>
    <row r="14" customFormat="false" ht="15" hidden="false" customHeight="false" outlineLevel="0" collapsed="false">
      <c r="A14" s="8" t="s">
        <v>37</v>
      </c>
      <c r="B14" s="7" t="s">
        <v>293</v>
      </c>
      <c r="C14" s="8" t="s">
        <v>294</v>
      </c>
      <c r="D14" s="7" t="n">
        <v>9</v>
      </c>
      <c r="E14" s="17"/>
      <c r="F14" s="21"/>
      <c r="G14" s="22" t="str">
        <f aca="false">IF(F14="","",F14+1)</f>
        <v/>
      </c>
      <c r="H14" s="22" t="str">
        <f aca="false">IF(F14="","",F14+7)</f>
        <v/>
      </c>
      <c r="I14" s="22" t="str">
        <f aca="false">IF(F14="","",F14+30)</f>
        <v/>
      </c>
      <c r="J14" s="17"/>
      <c r="K14" s="17"/>
      <c r="L14" s="7" t="n">
        <f aca="false">SUMIFS('Registro diário'!$G$6:$G$504,'Registro diário'!$D$6:$D$504,B14)</f>
        <v>0</v>
      </c>
      <c r="M14" s="7" t="n">
        <f aca="false">SUMIFS('Registro diário'!$H$6:$H$504,'Registro diário'!$D$6:$D$504,B14)</f>
        <v>0</v>
      </c>
      <c r="N14" s="18" t="str">
        <f aca="false">IF(L14=0,"",M14/L14)</f>
        <v/>
      </c>
      <c r="O14" s="7" t="str">
        <f aca="true">IF(AND(E14="Sim",L14&gt;0),"Concluído",IF(OR(E14="Sim",L14&gt;0),"Em andamento",IF(TODAY()&gt;DATE(2026,11,2)+7*D14-1,"Atrasado","A fazer")))</f>
        <v>A fazer</v>
      </c>
      <c r="P14" s="7" t="str">
        <f aca="true">IF(F14="","",IF(OR(AND(J14&lt;&gt;"Sim",TODAY()&gt;=H14),AND(K14&lt;&gt;"Sim",TODAY()&gt;=I14)),"PENDENTE","ok"))</f>
        <v/>
      </c>
    </row>
    <row r="15" customFormat="false" ht="35.05" hidden="false" customHeight="false" outlineLevel="0" collapsed="false">
      <c r="A15" s="8" t="s">
        <v>37</v>
      </c>
      <c r="B15" s="7" t="s">
        <v>295</v>
      </c>
      <c r="C15" s="8" t="s">
        <v>296</v>
      </c>
      <c r="D15" s="7" t="n">
        <v>10</v>
      </c>
      <c r="E15" s="17"/>
      <c r="F15" s="21"/>
      <c r="G15" s="22" t="str">
        <f aca="false">IF(F15="","",F15+1)</f>
        <v/>
      </c>
      <c r="H15" s="22" t="str">
        <f aca="false">IF(F15="","",F15+7)</f>
        <v/>
      </c>
      <c r="I15" s="22" t="str">
        <f aca="false">IF(F15="","",F15+30)</f>
        <v/>
      </c>
      <c r="J15" s="17"/>
      <c r="K15" s="17"/>
      <c r="L15" s="7" t="n">
        <f aca="false">SUMIFS('Registro diário'!$G$6:$G$504,'Registro diário'!$D$6:$D$504,B15)</f>
        <v>0</v>
      </c>
      <c r="M15" s="7" t="n">
        <f aca="false">SUMIFS('Registro diário'!$H$6:$H$504,'Registro diário'!$D$6:$D$504,B15)</f>
        <v>0</v>
      </c>
      <c r="N15" s="18" t="str">
        <f aca="false">IF(L15=0,"",M15/L15)</f>
        <v/>
      </c>
      <c r="O15" s="7" t="str">
        <f aca="true">IF(AND(E15="Sim",L15&gt;0),"Concluído",IF(OR(E15="Sim",L15&gt;0),"Em andamento",IF(TODAY()&gt;DATE(2026,11,2)+7*D15-1,"Atrasado","A fazer")))</f>
        <v>A fazer</v>
      </c>
      <c r="P15" s="7" t="str">
        <f aca="true">IF(F15="","",IF(OR(AND(J15&lt;&gt;"Sim",TODAY()&gt;=H15),AND(K15&lt;&gt;"Sim",TODAY()&gt;=I15)),"PENDENTE","ok"))</f>
        <v/>
      </c>
    </row>
    <row r="16" customFormat="false" ht="23.85" hidden="false" customHeight="false" outlineLevel="0" collapsed="false">
      <c r="A16" s="8" t="s">
        <v>37</v>
      </c>
      <c r="B16" s="7" t="s">
        <v>297</v>
      </c>
      <c r="C16" s="8" t="s">
        <v>298</v>
      </c>
      <c r="D16" s="7" t="n">
        <v>11</v>
      </c>
      <c r="E16" s="17"/>
      <c r="F16" s="21"/>
      <c r="G16" s="22" t="str">
        <f aca="false">IF(F16="","",F16+1)</f>
        <v/>
      </c>
      <c r="H16" s="22" t="str">
        <f aca="false">IF(F16="","",F16+7)</f>
        <v/>
      </c>
      <c r="I16" s="22" t="str">
        <f aca="false">IF(F16="","",F16+30)</f>
        <v/>
      </c>
      <c r="J16" s="17"/>
      <c r="K16" s="17"/>
      <c r="L16" s="7" t="n">
        <f aca="false">SUMIFS('Registro diário'!$G$6:$G$504,'Registro diário'!$D$6:$D$504,B16)</f>
        <v>0</v>
      </c>
      <c r="M16" s="7" t="n">
        <f aca="false">SUMIFS('Registro diário'!$H$6:$H$504,'Registro diário'!$D$6:$D$504,B16)</f>
        <v>0</v>
      </c>
      <c r="N16" s="18" t="str">
        <f aca="false">IF(L16=0,"",M16/L16)</f>
        <v/>
      </c>
      <c r="O16" s="7" t="str">
        <f aca="true">IF(AND(E16="Sim",L16&gt;0),"Concluído",IF(OR(E16="Sim",L16&gt;0),"Em andamento",IF(TODAY()&gt;DATE(2026,11,2)+7*D16-1,"Atrasado","A fazer")))</f>
        <v>A fazer</v>
      </c>
      <c r="P16" s="7" t="str">
        <f aca="true">IF(F16="","",IF(OR(AND(J16&lt;&gt;"Sim",TODAY()&gt;=H16),AND(K16&lt;&gt;"Sim",TODAY()&gt;=I16)),"PENDENTE","ok"))</f>
        <v/>
      </c>
    </row>
    <row r="17" customFormat="false" ht="23.85" hidden="false" customHeight="false" outlineLevel="0" collapsed="false">
      <c r="A17" s="8" t="s">
        <v>37</v>
      </c>
      <c r="B17" s="7" t="s">
        <v>299</v>
      </c>
      <c r="C17" s="8" t="s">
        <v>300</v>
      </c>
      <c r="D17" s="7" t="n">
        <v>12</v>
      </c>
      <c r="E17" s="17"/>
      <c r="F17" s="21"/>
      <c r="G17" s="22" t="str">
        <f aca="false">IF(F17="","",F17+1)</f>
        <v/>
      </c>
      <c r="H17" s="22" t="str">
        <f aca="false">IF(F17="","",F17+7)</f>
        <v/>
      </c>
      <c r="I17" s="22" t="str">
        <f aca="false">IF(F17="","",F17+30)</f>
        <v/>
      </c>
      <c r="J17" s="17"/>
      <c r="K17" s="17"/>
      <c r="L17" s="7" t="n">
        <f aca="false">SUMIFS('Registro diário'!$G$6:$G$504,'Registro diário'!$D$6:$D$504,B17)</f>
        <v>0</v>
      </c>
      <c r="M17" s="7" t="n">
        <f aca="false">SUMIFS('Registro diário'!$H$6:$H$504,'Registro diário'!$D$6:$D$504,B17)</f>
        <v>0</v>
      </c>
      <c r="N17" s="18" t="str">
        <f aca="false">IF(L17=0,"",M17/L17)</f>
        <v/>
      </c>
      <c r="O17" s="7" t="str">
        <f aca="true">IF(AND(E17="Sim",L17&gt;0),"Concluído",IF(OR(E17="Sim",L17&gt;0),"Em andamento",IF(TODAY()&gt;DATE(2026,11,2)+7*D17-1,"Atrasado","A fazer")))</f>
        <v>A fazer</v>
      </c>
      <c r="P17" s="7" t="str">
        <f aca="true">IF(F17="","",IF(OR(AND(J17&lt;&gt;"Sim",TODAY()&gt;=H17),AND(K17&lt;&gt;"Sim",TODAY()&gt;=I17)),"PENDENTE","ok"))</f>
        <v/>
      </c>
    </row>
    <row r="18" customFormat="false" ht="35.05" hidden="false" customHeight="false" outlineLevel="0" collapsed="false">
      <c r="A18" s="8" t="s">
        <v>37</v>
      </c>
      <c r="B18" s="7" t="s">
        <v>301</v>
      </c>
      <c r="C18" s="8" t="s">
        <v>302</v>
      </c>
      <c r="D18" s="7" t="n">
        <v>13</v>
      </c>
      <c r="E18" s="17"/>
      <c r="F18" s="21"/>
      <c r="G18" s="22" t="str">
        <f aca="false">IF(F18="","",F18+1)</f>
        <v/>
      </c>
      <c r="H18" s="22" t="str">
        <f aca="false">IF(F18="","",F18+7)</f>
        <v/>
      </c>
      <c r="I18" s="22" t="str">
        <f aca="false">IF(F18="","",F18+30)</f>
        <v/>
      </c>
      <c r="J18" s="17"/>
      <c r="K18" s="17"/>
      <c r="L18" s="7" t="n">
        <f aca="false">SUMIFS('Registro diário'!$G$6:$G$504,'Registro diário'!$D$6:$D$504,B18)</f>
        <v>0</v>
      </c>
      <c r="M18" s="7" t="n">
        <f aca="false">SUMIFS('Registro diário'!$H$6:$H$504,'Registro diário'!$D$6:$D$504,B18)</f>
        <v>0</v>
      </c>
      <c r="N18" s="18" t="str">
        <f aca="false">IF(L18=0,"",M18/L18)</f>
        <v/>
      </c>
      <c r="O18" s="7" t="str">
        <f aca="true">IF(AND(E18="Sim",L18&gt;0),"Concluído",IF(OR(E18="Sim",L18&gt;0),"Em andamento",IF(TODAY()&gt;DATE(2026,11,2)+7*D18-1,"Atrasado","A fazer")))</f>
        <v>A fazer</v>
      </c>
      <c r="P18" s="7" t="str">
        <f aca="true">IF(F18="","",IF(OR(AND(J18&lt;&gt;"Sim",TODAY()&gt;=H18),AND(K18&lt;&gt;"Sim",TODAY()&gt;=I18)),"PENDENTE","ok"))</f>
        <v/>
      </c>
    </row>
    <row r="19" customFormat="false" ht="15" hidden="false" customHeight="false" outlineLevel="0" collapsed="false">
      <c r="A19" s="8" t="s">
        <v>37</v>
      </c>
      <c r="B19" s="7" t="s">
        <v>303</v>
      </c>
      <c r="C19" s="8" t="s">
        <v>304</v>
      </c>
      <c r="D19" s="7" t="n">
        <v>14</v>
      </c>
      <c r="E19" s="17"/>
      <c r="F19" s="21"/>
      <c r="G19" s="22" t="str">
        <f aca="false">IF(F19="","",F19+1)</f>
        <v/>
      </c>
      <c r="H19" s="22" t="str">
        <f aca="false">IF(F19="","",F19+7)</f>
        <v/>
      </c>
      <c r="I19" s="22" t="str">
        <f aca="false">IF(F19="","",F19+30)</f>
        <v/>
      </c>
      <c r="J19" s="17"/>
      <c r="K19" s="17"/>
      <c r="L19" s="7" t="n">
        <f aca="false">SUMIFS('Registro diário'!$G$6:$G$504,'Registro diário'!$D$6:$D$504,B19)</f>
        <v>0</v>
      </c>
      <c r="M19" s="7" t="n">
        <f aca="false">SUMIFS('Registro diário'!$H$6:$H$504,'Registro diário'!$D$6:$D$504,B19)</f>
        <v>0</v>
      </c>
      <c r="N19" s="18" t="str">
        <f aca="false">IF(L19=0,"",M19/L19)</f>
        <v/>
      </c>
      <c r="O19" s="7" t="str">
        <f aca="true">IF(AND(E19="Sim",L19&gt;0),"Concluído",IF(OR(E19="Sim",L19&gt;0),"Em andamento",IF(TODAY()&gt;DATE(2026,11,2)+7*D19-1,"Atrasado","A fazer")))</f>
        <v>A fazer</v>
      </c>
      <c r="P19" s="7" t="str">
        <f aca="true">IF(F19="","",IF(OR(AND(J19&lt;&gt;"Sim",TODAY()&gt;=H19),AND(K19&lt;&gt;"Sim",TODAY()&gt;=I19)),"PENDENTE","ok"))</f>
        <v/>
      </c>
    </row>
    <row r="20" customFormat="false" ht="23.85" hidden="false" customHeight="false" outlineLevel="0" collapsed="false">
      <c r="A20" s="8" t="s">
        <v>37</v>
      </c>
      <c r="B20" s="7" t="s">
        <v>305</v>
      </c>
      <c r="C20" s="8" t="s">
        <v>306</v>
      </c>
      <c r="D20" s="7" t="n">
        <v>16</v>
      </c>
      <c r="E20" s="17"/>
      <c r="F20" s="21"/>
      <c r="G20" s="22" t="str">
        <f aca="false">IF(F20="","",F20+1)</f>
        <v/>
      </c>
      <c r="H20" s="22" t="str">
        <f aca="false">IF(F20="","",F20+7)</f>
        <v/>
      </c>
      <c r="I20" s="22" t="str">
        <f aca="false">IF(F20="","",F20+30)</f>
        <v/>
      </c>
      <c r="J20" s="17"/>
      <c r="K20" s="17"/>
      <c r="L20" s="7" t="n">
        <f aca="false">SUMIFS('Registro diário'!$G$6:$G$504,'Registro diário'!$D$6:$D$504,B20)</f>
        <v>0</v>
      </c>
      <c r="M20" s="7" t="n">
        <f aca="false">SUMIFS('Registro diário'!$H$6:$H$504,'Registro diário'!$D$6:$D$504,B20)</f>
        <v>0</v>
      </c>
      <c r="N20" s="18" t="str">
        <f aca="false">IF(L20=0,"",M20/L20)</f>
        <v/>
      </c>
      <c r="O20" s="7" t="str">
        <f aca="true">IF(AND(E20="Sim",L20&gt;0),"Concluído",IF(OR(E20="Sim",L20&gt;0),"Em andamento",IF(TODAY()&gt;DATE(2026,11,2)+7*D20-1,"Atrasado","A fazer")))</f>
        <v>A fazer</v>
      </c>
      <c r="P20" s="7" t="str">
        <f aca="true">IF(F20="","",IF(OR(AND(J20&lt;&gt;"Sim",TODAY()&gt;=H20),AND(K20&lt;&gt;"Sim",TODAY()&gt;=I20)),"PENDENTE","ok"))</f>
        <v/>
      </c>
    </row>
    <row r="21" customFormat="false" ht="15" hidden="false" customHeight="false" outlineLevel="0" collapsed="false">
      <c r="A21" s="8" t="s">
        <v>37</v>
      </c>
      <c r="B21" s="7" t="s">
        <v>307</v>
      </c>
      <c r="C21" s="8" t="s">
        <v>308</v>
      </c>
      <c r="D21" s="7" t="n">
        <v>17</v>
      </c>
      <c r="E21" s="17"/>
      <c r="F21" s="21"/>
      <c r="G21" s="22" t="str">
        <f aca="false">IF(F21="","",F21+1)</f>
        <v/>
      </c>
      <c r="H21" s="22" t="str">
        <f aca="false">IF(F21="","",F21+7)</f>
        <v/>
      </c>
      <c r="I21" s="22" t="str">
        <f aca="false">IF(F21="","",F21+30)</f>
        <v/>
      </c>
      <c r="J21" s="17"/>
      <c r="K21" s="17"/>
      <c r="L21" s="7" t="n">
        <f aca="false">SUMIFS('Registro diário'!$G$6:$G$504,'Registro diário'!$D$6:$D$504,B21)</f>
        <v>0</v>
      </c>
      <c r="M21" s="7" t="n">
        <f aca="false">SUMIFS('Registro diário'!$H$6:$H$504,'Registro diário'!$D$6:$D$504,B21)</f>
        <v>0</v>
      </c>
      <c r="N21" s="18" t="str">
        <f aca="false">IF(L21=0,"",M21/L21)</f>
        <v/>
      </c>
      <c r="O21" s="7" t="str">
        <f aca="true">IF(AND(E21="Sim",L21&gt;0),"Concluído",IF(OR(E21="Sim",L21&gt;0),"Em andamento",IF(TODAY()&gt;DATE(2026,11,2)+7*D21-1,"Atrasado","A fazer")))</f>
        <v>A fazer</v>
      </c>
      <c r="P21" s="7" t="str">
        <f aca="true">IF(F21="","",IF(OR(AND(J21&lt;&gt;"Sim",TODAY()&gt;=H21),AND(K21&lt;&gt;"Sim",TODAY()&gt;=I21)),"PENDENTE","ok"))</f>
        <v/>
      </c>
    </row>
    <row r="22" customFormat="false" ht="23.85" hidden="false" customHeight="false" outlineLevel="0" collapsed="false">
      <c r="A22" s="8" t="s">
        <v>37</v>
      </c>
      <c r="B22" s="7" t="s">
        <v>309</v>
      </c>
      <c r="C22" s="8" t="s">
        <v>310</v>
      </c>
      <c r="D22" s="7" t="n">
        <v>18</v>
      </c>
      <c r="E22" s="17"/>
      <c r="F22" s="21"/>
      <c r="G22" s="22" t="str">
        <f aca="false">IF(F22="","",F22+1)</f>
        <v/>
      </c>
      <c r="H22" s="22" t="str">
        <f aca="false">IF(F22="","",F22+7)</f>
        <v/>
      </c>
      <c r="I22" s="22" t="str">
        <f aca="false">IF(F22="","",F22+30)</f>
        <v/>
      </c>
      <c r="J22" s="17"/>
      <c r="K22" s="17"/>
      <c r="L22" s="7" t="n">
        <f aca="false">SUMIFS('Registro diário'!$G$6:$G$504,'Registro diário'!$D$6:$D$504,B22)</f>
        <v>0</v>
      </c>
      <c r="M22" s="7" t="n">
        <f aca="false">SUMIFS('Registro diário'!$H$6:$H$504,'Registro diário'!$D$6:$D$504,B22)</f>
        <v>0</v>
      </c>
      <c r="N22" s="18" t="str">
        <f aca="false">IF(L22=0,"",M22/L22)</f>
        <v/>
      </c>
      <c r="O22" s="7" t="str">
        <f aca="true">IF(AND(E22="Sim",L22&gt;0),"Concluído",IF(OR(E22="Sim",L22&gt;0),"Em andamento",IF(TODAY()&gt;DATE(2026,11,2)+7*D22-1,"Atrasado","A fazer")))</f>
        <v>A fazer</v>
      </c>
      <c r="P22" s="7" t="str">
        <f aca="true">IF(F22="","",IF(OR(AND(J22&lt;&gt;"Sim",TODAY()&gt;=H22),AND(K22&lt;&gt;"Sim",TODAY()&gt;=I22)),"PENDENTE","ok"))</f>
        <v/>
      </c>
    </row>
    <row r="23" customFormat="false" ht="15" hidden="false" customHeight="false" outlineLevel="0" collapsed="false">
      <c r="A23" s="8" t="s">
        <v>37</v>
      </c>
      <c r="B23" s="7" t="s">
        <v>311</v>
      </c>
      <c r="C23" s="8" t="s">
        <v>312</v>
      </c>
      <c r="D23" s="7" t="n">
        <v>19</v>
      </c>
      <c r="E23" s="17"/>
      <c r="F23" s="21"/>
      <c r="G23" s="22" t="str">
        <f aca="false">IF(F23="","",F23+1)</f>
        <v/>
      </c>
      <c r="H23" s="22" t="str">
        <f aca="false">IF(F23="","",F23+7)</f>
        <v/>
      </c>
      <c r="I23" s="22" t="str">
        <f aca="false">IF(F23="","",F23+30)</f>
        <v/>
      </c>
      <c r="J23" s="17"/>
      <c r="K23" s="17"/>
      <c r="L23" s="7" t="n">
        <f aca="false">SUMIFS('Registro diário'!$G$6:$G$504,'Registro diário'!$D$6:$D$504,B23)</f>
        <v>0</v>
      </c>
      <c r="M23" s="7" t="n">
        <f aca="false">SUMIFS('Registro diário'!$H$6:$H$504,'Registro diário'!$D$6:$D$504,B23)</f>
        <v>0</v>
      </c>
      <c r="N23" s="18" t="str">
        <f aca="false">IF(L23=0,"",M23/L23)</f>
        <v/>
      </c>
      <c r="O23" s="7" t="str">
        <f aca="true">IF(AND(E23="Sim",L23&gt;0),"Concluído",IF(OR(E23="Sim",L23&gt;0),"Em andamento",IF(TODAY()&gt;DATE(2026,11,2)+7*D23-1,"Atrasado","A fazer")))</f>
        <v>A fazer</v>
      </c>
      <c r="P23" s="7" t="str">
        <f aca="true">IF(F23="","",IF(OR(AND(J23&lt;&gt;"Sim",TODAY()&gt;=H23),AND(K23&lt;&gt;"Sim",TODAY()&gt;=I23)),"PENDENTE","ok"))</f>
        <v/>
      </c>
    </row>
    <row r="24" customFormat="false" ht="15" hidden="false" customHeight="false" outlineLevel="0" collapsed="false">
      <c r="A24" s="8" t="s">
        <v>37</v>
      </c>
      <c r="B24" s="7" t="s">
        <v>313</v>
      </c>
      <c r="C24" s="8" t="s">
        <v>314</v>
      </c>
      <c r="D24" s="7" t="n">
        <v>20</v>
      </c>
      <c r="E24" s="17"/>
      <c r="F24" s="21"/>
      <c r="G24" s="22" t="str">
        <f aca="false">IF(F24="","",F24+1)</f>
        <v/>
      </c>
      <c r="H24" s="22" t="str">
        <f aca="false">IF(F24="","",F24+7)</f>
        <v/>
      </c>
      <c r="I24" s="22" t="str">
        <f aca="false">IF(F24="","",F24+30)</f>
        <v/>
      </c>
      <c r="J24" s="17"/>
      <c r="K24" s="17"/>
      <c r="L24" s="7" t="n">
        <f aca="false">SUMIFS('Registro diário'!$G$6:$G$504,'Registro diário'!$D$6:$D$504,B24)</f>
        <v>0</v>
      </c>
      <c r="M24" s="7" t="n">
        <f aca="false">SUMIFS('Registro diário'!$H$6:$H$504,'Registro diário'!$D$6:$D$504,B24)</f>
        <v>0</v>
      </c>
      <c r="N24" s="18" t="str">
        <f aca="false">IF(L24=0,"",M24/L24)</f>
        <v/>
      </c>
      <c r="O24" s="7" t="str">
        <f aca="true">IF(AND(E24="Sim",L24&gt;0),"Concluído",IF(OR(E24="Sim",L24&gt;0),"Em andamento",IF(TODAY()&gt;DATE(2026,11,2)+7*D24-1,"Atrasado","A fazer")))</f>
        <v>A fazer</v>
      </c>
      <c r="P24" s="7" t="str">
        <f aca="true">IF(F24="","",IF(OR(AND(J24&lt;&gt;"Sim",TODAY()&gt;=H24),AND(K24&lt;&gt;"Sim",TODAY()&gt;=I24)),"PENDENTE","ok"))</f>
        <v/>
      </c>
    </row>
    <row r="25" customFormat="false" ht="23.85" hidden="false" customHeight="false" outlineLevel="0" collapsed="false">
      <c r="A25" s="8" t="s">
        <v>49</v>
      </c>
      <c r="B25" s="7" t="s">
        <v>315</v>
      </c>
      <c r="C25" s="8" t="s">
        <v>316</v>
      </c>
      <c r="D25" s="7" t="n">
        <v>1</v>
      </c>
      <c r="E25" s="17"/>
      <c r="F25" s="21"/>
      <c r="G25" s="22" t="str">
        <f aca="false">IF(F25="","",F25+1)</f>
        <v/>
      </c>
      <c r="H25" s="22" t="str">
        <f aca="false">IF(F25="","",F25+7)</f>
        <v/>
      </c>
      <c r="I25" s="22" t="str">
        <f aca="false">IF(F25="","",F25+30)</f>
        <v/>
      </c>
      <c r="J25" s="17"/>
      <c r="K25" s="17"/>
      <c r="L25" s="7" t="n">
        <f aca="false">SUMIFS('Registro diário'!$G$6:$G$504,'Registro diário'!$D$6:$D$504,B25)</f>
        <v>0</v>
      </c>
      <c r="M25" s="7" t="n">
        <f aca="false">SUMIFS('Registro diário'!$H$6:$H$504,'Registro diário'!$D$6:$D$504,B25)</f>
        <v>0</v>
      </c>
      <c r="N25" s="18" t="str">
        <f aca="false">IF(L25=0,"",M25/L25)</f>
        <v/>
      </c>
      <c r="O25" s="7" t="str">
        <f aca="true">IF(AND(E25="Sim",L25&gt;0),"Concluído",IF(OR(E25="Sim",L25&gt;0),"Em andamento",IF(TODAY()&gt;DATE(2026,11,2)+7*D25-1,"Atrasado","A fazer")))</f>
        <v>A fazer</v>
      </c>
      <c r="P25" s="7" t="str">
        <f aca="true">IF(F25="","",IF(OR(AND(J25&lt;&gt;"Sim",TODAY()&gt;=H25),AND(K25&lt;&gt;"Sim",TODAY()&gt;=I25)),"PENDENTE","ok"))</f>
        <v/>
      </c>
    </row>
    <row r="26" customFormat="false" ht="15" hidden="false" customHeight="false" outlineLevel="0" collapsed="false">
      <c r="A26" s="8" t="s">
        <v>49</v>
      </c>
      <c r="B26" s="7" t="s">
        <v>317</v>
      </c>
      <c r="C26" s="8" t="s">
        <v>318</v>
      </c>
      <c r="D26" s="7" t="n">
        <v>2</v>
      </c>
      <c r="E26" s="17"/>
      <c r="F26" s="21"/>
      <c r="G26" s="22" t="str">
        <f aca="false">IF(F26="","",F26+1)</f>
        <v/>
      </c>
      <c r="H26" s="22" t="str">
        <f aca="false">IF(F26="","",F26+7)</f>
        <v/>
      </c>
      <c r="I26" s="22" t="str">
        <f aca="false">IF(F26="","",F26+30)</f>
        <v/>
      </c>
      <c r="J26" s="17"/>
      <c r="K26" s="17"/>
      <c r="L26" s="7" t="n">
        <f aca="false">SUMIFS('Registro diário'!$G$6:$G$504,'Registro diário'!$D$6:$D$504,B26)</f>
        <v>0</v>
      </c>
      <c r="M26" s="7" t="n">
        <f aca="false">SUMIFS('Registro diário'!$H$6:$H$504,'Registro diário'!$D$6:$D$504,B26)</f>
        <v>0</v>
      </c>
      <c r="N26" s="18" t="str">
        <f aca="false">IF(L26=0,"",M26/L26)</f>
        <v/>
      </c>
      <c r="O26" s="7" t="str">
        <f aca="true">IF(AND(E26="Sim",L26&gt;0),"Concluído",IF(OR(E26="Sim",L26&gt;0),"Em andamento",IF(TODAY()&gt;DATE(2026,11,2)+7*D26-1,"Atrasado","A fazer")))</f>
        <v>A fazer</v>
      </c>
      <c r="P26" s="7" t="str">
        <f aca="true">IF(F26="","",IF(OR(AND(J26&lt;&gt;"Sim",TODAY()&gt;=H26),AND(K26&lt;&gt;"Sim",TODAY()&gt;=I26)),"PENDENTE","ok"))</f>
        <v/>
      </c>
    </row>
    <row r="27" customFormat="false" ht="15" hidden="false" customHeight="false" outlineLevel="0" collapsed="false">
      <c r="A27" s="8" t="s">
        <v>49</v>
      </c>
      <c r="B27" s="7" t="s">
        <v>319</v>
      </c>
      <c r="C27" s="8" t="s">
        <v>320</v>
      </c>
      <c r="D27" s="7" t="n">
        <v>3</v>
      </c>
      <c r="E27" s="17"/>
      <c r="F27" s="21"/>
      <c r="G27" s="22" t="str">
        <f aca="false">IF(F27="","",F27+1)</f>
        <v/>
      </c>
      <c r="H27" s="22" t="str">
        <f aca="false">IF(F27="","",F27+7)</f>
        <v/>
      </c>
      <c r="I27" s="22" t="str">
        <f aca="false">IF(F27="","",F27+30)</f>
        <v/>
      </c>
      <c r="J27" s="17"/>
      <c r="K27" s="17"/>
      <c r="L27" s="7" t="n">
        <f aca="false">SUMIFS('Registro diário'!$G$6:$G$504,'Registro diário'!$D$6:$D$504,B27)</f>
        <v>0</v>
      </c>
      <c r="M27" s="7" t="n">
        <f aca="false">SUMIFS('Registro diário'!$H$6:$H$504,'Registro diário'!$D$6:$D$504,B27)</f>
        <v>0</v>
      </c>
      <c r="N27" s="18" t="str">
        <f aca="false">IF(L27=0,"",M27/L27)</f>
        <v/>
      </c>
      <c r="O27" s="7" t="str">
        <f aca="true">IF(AND(E27="Sim",L27&gt;0),"Concluído",IF(OR(E27="Sim",L27&gt;0),"Em andamento",IF(TODAY()&gt;DATE(2026,11,2)+7*D27-1,"Atrasado","A fazer")))</f>
        <v>A fazer</v>
      </c>
      <c r="P27" s="7" t="str">
        <f aca="true">IF(F27="","",IF(OR(AND(J27&lt;&gt;"Sim",TODAY()&gt;=H27),AND(K27&lt;&gt;"Sim",TODAY()&gt;=I27)),"PENDENTE","ok"))</f>
        <v/>
      </c>
    </row>
    <row r="28" customFormat="false" ht="15" hidden="false" customHeight="false" outlineLevel="0" collapsed="false">
      <c r="A28" s="8" t="s">
        <v>49</v>
      </c>
      <c r="B28" s="7" t="s">
        <v>321</v>
      </c>
      <c r="C28" s="8" t="s">
        <v>322</v>
      </c>
      <c r="D28" s="7" t="n">
        <v>4</v>
      </c>
      <c r="E28" s="17"/>
      <c r="F28" s="21"/>
      <c r="G28" s="22" t="str">
        <f aca="false">IF(F28="","",F28+1)</f>
        <v/>
      </c>
      <c r="H28" s="22" t="str">
        <f aca="false">IF(F28="","",F28+7)</f>
        <v/>
      </c>
      <c r="I28" s="22" t="str">
        <f aca="false">IF(F28="","",F28+30)</f>
        <v/>
      </c>
      <c r="J28" s="17"/>
      <c r="K28" s="17"/>
      <c r="L28" s="7" t="n">
        <f aca="false">SUMIFS('Registro diário'!$G$6:$G$504,'Registro diário'!$D$6:$D$504,B28)</f>
        <v>0</v>
      </c>
      <c r="M28" s="7" t="n">
        <f aca="false">SUMIFS('Registro diário'!$H$6:$H$504,'Registro diário'!$D$6:$D$504,B28)</f>
        <v>0</v>
      </c>
      <c r="N28" s="18" t="str">
        <f aca="false">IF(L28=0,"",M28/L28)</f>
        <v/>
      </c>
      <c r="O28" s="7" t="str">
        <f aca="true">IF(AND(E28="Sim",L28&gt;0),"Concluído",IF(OR(E28="Sim",L28&gt;0),"Em andamento",IF(TODAY()&gt;DATE(2026,11,2)+7*D28-1,"Atrasado","A fazer")))</f>
        <v>A fazer</v>
      </c>
      <c r="P28" s="7" t="str">
        <f aca="true">IF(F28="","",IF(OR(AND(J28&lt;&gt;"Sim",TODAY()&gt;=H28),AND(K28&lt;&gt;"Sim",TODAY()&gt;=I28)),"PENDENTE","ok"))</f>
        <v/>
      </c>
    </row>
    <row r="29" customFormat="false" ht="15" hidden="false" customHeight="false" outlineLevel="0" collapsed="false">
      <c r="A29" s="8" t="s">
        <v>49</v>
      </c>
      <c r="B29" s="7" t="s">
        <v>323</v>
      </c>
      <c r="C29" s="8" t="s">
        <v>324</v>
      </c>
      <c r="D29" s="7" t="n">
        <v>5</v>
      </c>
      <c r="E29" s="17"/>
      <c r="F29" s="21"/>
      <c r="G29" s="22" t="str">
        <f aca="false">IF(F29="","",F29+1)</f>
        <v/>
      </c>
      <c r="H29" s="22" t="str">
        <f aca="false">IF(F29="","",F29+7)</f>
        <v/>
      </c>
      <c r="I29" s="22" t="str">
        <f aca="false">IF(F29="","",F29+30)</f>
        <v/>
      </c>
      <c r="J29" s="17"/>
      <c r="K29" s="17"/>
      <c r="L29" s="7" t="n">
        <f aca="false">SUMIFS('Registro diário'!$G$6:$G$504,'Registro diário'!$D$6:$D$504,B29)</f>
        <v>0</v>
      </c>
      <c r="M29" s="7" t="n">
        <f aca="false">SUMIFS('Registro diário'!$H$6:$H$504,'Registro diário'!$D$6:$D$504,B29)</f>
        <v>0</v>
      </c>
      <c r="N29" s="18" t="str">
        <f aca="false">IF(L29=0,"",M29/L29)</f>
        <v/>
      </c>
      <c r="O29" s="7" t="str">
        <f aca="true">IF(AND(E29="Sim",L29&gt;0),"Concluído",IF(OR(E29="Sim",L29&gt;0),"Em andamento",IF(TODAY()&gt;DATE(2026,11,2)+7*D29-1,"Atrasado","A fazer")))</f>
        <v>A fazer</v>
      </c>
      <c r="P29" s="7" t="str">
        <f aca="true">IF(F29="","",IF(OR(AND(J29&lt;&gt;"Sim",TODAY()&gt;=H29),AND(K29&lt;&gt;"Sim",TODAY()&gt;=I29)),"PENDENTE","ok"))</f>
        <v/>
      </c>
    </row>
    <row r="30" customFormat="false" ht="15" hidden="false" customHeight="false" outlineLevel="0" collapsed="false">
      <c r="A30" s="8" t="s">
        <v>49</v>
      </c>
      <c r="B30" s="7" t="s">
        <v>325</v>
      </c>
      <c r="C30" s="8" t="s">
        <v>326</v>
      </c>
      <c r="D30" s="7" t="n">
        <v>6</v>
      </c>
      <c r="E30" s="17"/>
      <c r="F30" s="21"/>
      <c r="G30" s="22" t="str">
        <f aca="false">IF(F30="","",F30+1)</f>
        <v/>
      </c>
      <c r="H30" s="22" t="str">
        <f aca="false">IF(F30="","",F30+7)</f>
        <v/>
      </c>
      <c r="I30" s="22" t="str">
        <f aca="false">IF(F30="","",F30+30)</f>
        <v/>
      </c>
      <c r="J30" s="17"/>
      <c r="K30" s="17"/>
      <c r="L30" s="7" t="n">
        <f aca="false">SUMIFS('Registro diário'!$G$6:$G$504,'Registro diário'!$D$6:$D$504,B30)</f>
        <v>0</v>
      </c>
      <c r="M30" s="7" t="n">
        <f aca="false">SUMIFS('Registro diário'!$H$6:$H$504,'Registro diário'!$D$6:$D$504,B30)</f>
        <v>0</v>
      </c>
      <c r="N30" s="18" t="str">
        <f aca="false">IF(L30=0,"",M30/L30)</f>
        <v/>
      </c>
      <c r="O30" s="7" t="str">
        <f aca="true">IF(AND(E30="Sim",L30&gt;0),"Concluído",IF(OR(E30="Sim",L30&gt;0),"Em andamento",IF(TODAY()&gt;DATE(2026,11,2)+7*D30-1,"Atrasado","A fazer")))</f>
        <v>A fazer</v>
      </c>
      <c r="P30" s="7" t="str">
        <f aca="true">IF(F30="","",IF(OR(AND(J30&lt;&gt;"Sim",TODAY()&gt;=H30),AND(K30&lt;&gt;"Sim",TODAY()&gt;=I30)),"PENDENTE","ok"))</f>
        <v/>
      </c>
    </row>
    <row r="31" customFormat="false" ht="15" hidden="false" customHeight="false" outlineLevel="0" collapsed="false">
      <c r="A31" s="8" t="s">
        <v>49</v>
      </c>
      <c r="B31" s="7" t="s">
        <v>327</v>
      </c>
      <c r="C31" s="8" t="s">
        <v>328</v>
      </c>
      <c r="D31" s="7" t="n">
        <v>7</v>
      </c>
      <c r="E31" s="17"/>
      <c r="F31" s="21"/>
      <c r="G31" s="22" t="str">
        <f aca="false">IF(F31="","",F31+1)</f>
        <v/>
      </c>
      <c r="H31" s="22" t="str">
        <f aca="false">IF(F31="","",F31+7)</f>
        <v/>
      </c>
      <c r="I31" s="22" t="str">
        <f aca="false">IF(F31="","",F31+30)</f>
        <v/>
      </c>
      <c r="J31" s="17"/>
      <c r="K31" s="17"/>
      <c r="L31" s="7" t="n">
        <f aca="false">SUMIFS('Registro diário'!$G$6:$G$504,'Registro diário'!$D$6:$D$504,B31)</f>
        <v>0</v>
      </c>
      <c r="M31" s="7" t="n">
        <f aca="false">SUMIFS('Registro diário'!$H$6:$H$504,'Registro diário'!$D$6:$D$504,B31)</f>
        <v>0</v>
      </c>
      <c r="N31" s="18" t="str">
        <f aca="false">IF(L31=0,"",M31/L31)</f>
        <v/>
      </c>
      <c r="O31" s="7" t="str">
        <f aca="true">IF(AND(E31="Sim",L31&gt;0),"Concluído",IF(OR(E31="Sim",L31&gt;0),"Em andamento",IF(TODAY()&gt;DATE(2026,11,2)+7*D31-1,"Atrasado","A fazer")))</f>
        <v>A fazer</v>
      </c>
      <c r="P31" s="7" t="str">
        <f aca="true">IF(F31="","",IF(OR(AND(J31&lt;&gt;"Sim",TODAY()&gt;=H31),AND(K31&lt;&gt;"Sim",TODAY()&gt;=I31)),"PENDENTE","ok"))</f>
        <v/>
      </c>
    </row>
    <row r="32" customFormat="false" ht="15" hidden="false" customHeight="false" outlineLevel="0" collapsed="false">
      <c r="A32" s="8" t="s">
        <v>49</v>
      </c>
      <c r="B32" s="7" t="s">
        <v>329</v>
      </c>
      <c r="C32" s="8" t="s">
        <v>330</v>
      </c>
      <c r="D32" s="7" t="n">
        <v>9</v>
      </c>
      <c r="E32" s="17"/>
      <c r="F32" s="21"/>
      <c r="G32" s="22" t="str">
        <f aca="false">IF(F32="","",F32+1)</f>
        <v/>
      </c>
      <c r="H32" s="22" t="str">
        <f aca="false">IF(F32="","",F32+7)</f>
        <v/>
      </c>
      <c r="I32" s="22" t="str">
        <f aca="false">IF(F32="","",F32+30)</f>
        <v/>
      </c>
      <c r="J32" s="17"/>
      <c r="K32" s="17"/>
      <c r="L32" s="7" t="n">
        <f aca="false">SUMIFS('Registro diário'!$G$6:$G$504,'Registro diário'!$D$6:$D$504,B32)</f>
        <v>0</v>
      </c>
      <c r="M32" s="7" t="n">
        <f aca="false">SUMIFS('Registro diário'!$H$6:$H$504,'Registro diário'!$D$6:$D$504,B32)</f>
        <v>0</v>
      </c>
      <c r="N32" s="18" t="str">
        <f aca="false">IF(L32=0,"",M32/L32)</f>
        <v/>
      </c>
      <c r="O32" s="7" t="str">
        <f aca="true">IF(AND(E32="Sim",L32&gt;0),"Concluído",IF(OR(E32="Sim",L32&gt;0),"Em andamento",IF(TODAY()&gt;DATE(2026,11,2)+7*D32-1,"Atrasado","A fazer")))</f>
        <v>A fazer</v>
      </c>
      <c r="P32" s="7" t="str">
        <f aca="true">IF(F32="","",IF(OR(AND(J32&lt;&gt;"Sim",TODAY()&gt;=H32),AND(K32&lt;&gt;"Sim",TODAY()&gt;=I32)),"PENDENTE","ok"))</f>
        <v/>
      </c>
    </row>
    <row r="33" customFormat="false" ht="15" hidden="false" customHeight="false" outlineLevel="0" collapsed="false">
      <c r="A33" s="8" t="s">
        <v>49</v>
      </c>
      <c r="B33" s="7" t="s">
        <v>331</v>
      </c>
      <c r="C33" s="8" t="s">
        <v>332</v>
      </c>
      <c r="D33" s="7" t="n">
        <v>10</v>
      </c>
      <c r="E33" s="17"/>
      <c r="F33" s="21"/>
      <c r="G33" s="22" t="str">
        <f aca="false">IF(F33="","",F33+1)</f>
        <v/>
      </c>
      <c r="H33" s="22" t="str">
        <f aca="false">IF(F33="","",F33+7)</f>
        <v/>
      </c>
      <c r="I33" s="22" t="str">
        <f aca="false">IF(F33="","",F33+30)</f>
        <v/>
      </c>
      <c r="J33" s="17"/>
      <c r="K33" s="17"/>
      <c r="L33" s="7" t="n">
        <f aca="false">SUMIFS('Registro diário'!$G$6:$G$504,'Registro diário'!$D$6:$D$504,B33)</f>
        <v>0</v>
      </c>
      <c r="M33" s="7" t="n">
        <f aca="false">SUMIFS('Registro diário'!$H$6:$H$504,'Registro diário'!$D$6:$D$504,B33)</f>
        <v>0</v>
      </c>
      <c r="N33" s="18" t="str">
        <f aca="false">IF(L33=0,"",M33/L33)</f>
        <v/>
      </c>
      <c r="O33" s="7" t="str">
        <f aca="true">IF(AND(E33="Sim",L33&gt;0),"Concluído",IF(OR(E33="Sim",L33&gt;0),"Em andamento",IF(TODAY()&gt;DATE(2026,11,2)+7*D33-1,"Atrasado","A fazer")))</f>
        <v>A fazer</v>
      </c>
      <c r="P33" s="7" t="str">
        <f aca="true">IF(F33="","",IF(OR(AND(J33&lt;&gt;"Sim",TODAY()&gt;=H33),AND(K33&lt;&gt;"Sim",TODAY()&gt;=I33)),"PENDENTE","ok"))</f>
        <v/>
      </c>
    </row>
    <row r="34" customFormat="false" ht="15" hidden="false" customHeight="false" outlineLevel="0" collapsed="false">
      <c r="A34" s="8" t="s">
        <v>49</v>
      </c>
      <c r="B34" s="7" t="s">
        <v>333</v>
      </c>
      <c r="C34" s="8" t="s">
        <v>334</v>
      </c>
      <c r="D34" s="7" t="n">
        <v>11</v>
      </c>
      <c r="E34" s="17"/>
      <c r="F34" s="21"/>
      <c r="G34" s="22" t="str">
        <f aca="false">IF(F34="","",F34+1)</f>
        <v/>
      </c>
      <c r="H34" s="22" t="str">
        <f aca="false">IF(F34="","",F34+7)</f>
        <v/>
      </c>
      <c r="I34" s="22" t="str">
        <f aca="false">IF(F34="","",F34+30)</f>
        <v/>
      </c>
      <c r="J34" s="17"/>
      <c r="K34" s="17"/>
      <c r="L34" s="7" t="n">
        <f aca="false">SUMIFS('Registro diário'!$G$6:$G$504,'Registro diário'!$D$6:$D$504,B34)</f>
        <v>0</v>
      </c>
      <c r="M34" s="7" t="n">
        <f aca="false">SUMIFS('Registro diário'!$H$6:$H$504,'Registro diário'!$D$6:$D$504,B34)</f>
        <v>0</v>
      </c>
      <c r="N34" s="18" t="str">
        <f aca="false">IF(L34=0,"",M34/L34)</f>
        <v/>
      </c>
      <c r="O34" s="7" t="str">
        <f aca="true">IF(AND(E34="Sim",L34&gt;0),"Concluído",IF(OR(E34="Sim",L34&gt;0),"Em andamento",IF(TODAY()&gt;DATE(2026,11,2)+7*D34-1,"Atrasado","A fazer")))</f>
        <v>A fazer</v>
      </c>
      <c r="P34" s="7" t="str">
        <f aca="true">IF(F34="","",IF(OR(AND(J34&lt;&gt;"Sim",TODAY()&gt;=H34),AND(K34&lt;&gt;"Sim",TODAY()&gt;=I34)),"PENDENTE","ok"))</f>
        <v/>
      </c>
    </row>
    <row r="35" customFormat="false" ht="15" hidden="false" customHeight="false" outlineLevel="0" collapsed="false">
      <c r="A35" s="8" t="s">
        <v>49</v>
      </c>
      <c r="B35" s="7" t="s">
        <v>335</v>
      </c>
      <c r="C35" s="8" t="s">
        <v>336</v>
      </c>
      <c r="D35" s="7" t="n">
        <v>12</v>
      </c>
      <c r="E35" s="17"/>
      <c r="F35" s="21"/>
      <c r="G35" s="22" t="str">
        <f aca="false">IF(F35="","",F35+1)</f>
        <v/>
      </c>
      <c r="H35" s="22" t="str">
        <f aca="false">IF(F35="","",F35+7)</f>
        <v/>
      </c>
      <c r="I35" s="22" t="str">
        <f aca="false">IF(F35="","",F35+30)</f>
        <v/>
      </c>
      <c r="J35" s="17"/>
      <c r="K35" s="17"/>
      <c r="L35" s="7" t="n">
        <f aca="false">SUMIFS('Registro diário'!$G$6:$G$504,'Registro diário'!$D$6:$D$504,B35)</f>
        <v>0</v>
      </c>
      <c r="M35" s="7" t="n">
        <f aca="false">SUMIFS('Registro diário'!$H$6:$H$504,'Registro diário'!$D$6:$D$504,B35)</f>
        <v>0</v>
      </c>
      <c r="N35" s="18" t="str">
        <f aca="false">IF(L35=0,"",M35/L35)</f>
        <v/>
      </c>
      <c r="O35" s="7" t="str">
        <f aca="true">IF(AND(E35="Sim",L35&gt;0),"Concluído",IF(OR(E35="Sim",L35&gt;0),"Em andamento",IF(TODAY()&gt;DATE(2026,11,2)+7*D35-1,"Atrasado","A fazer")))</f>
        <v>A fazer</v>
      </c>
      <c r="P35" s="7" t="str">
        <f aca="true">IF(F35="","",IF(OR(AND(J35&lt;&gt;"Sim",TODAY()&gt;=H35),AND(K35&lt;&gt;"Sim",TODAY()&gt;=I35)),"PENDENTE","ok"))</f>
        <v/>
      </c>
    </row>
    <row r="36" customFormat="false" ht="15" hidden="false" customHeight="false" outlineLevel="0" collapsed="false">
      <c r="A36" s="8" t="s">
        <v>49</v>
      </c>
      <c r="B36" s="7" t="s">
        <v>337</v>
      </c>
      <c r="C36" s="8" t="s">
        <v>338</v>
      </c>
      <c r="D36" s="7" t="n">
        <v>13</v>
      </c>
      <c r="E36" s="17"/>
      <c r="F36" s="21"/>
      <c r="G36" s="22" t="str">
        <f aca="false">IF(F36="","",F36+1)</f>
        <v/>
      </c>
      <c r="H36" s="22" t="str">
        <f aca="false">IF(F36="","",F36+7)</f>
        <v/>
      </c>
      <c r="I36" s="22" t="str">
        <f aca="false">IF(F36="","",F36+30)</f>
        <v/>
      </c>
      <c r="J36" s="17"/>
      <c r="K36" s="17"/>
      <c r="L36" s="7" t="n">
        <f aca="false">SUMIFS('Registro diário'!$G$6:$G$504,'Registro diário'!$D$6:$D$504,B36)</f>
        <v>0</v>
      </c>
      <c r="M36" s="7" t="n">
        <f aca="false">SUMIFS('Registro diário'!$H$6:$H$504,'Registro diário'!$D$6:$D$504,B36)</f>
        <v>0</v>
      </c>
      <c r="N36" s="18" t="str">
        <f aca="false">IF(L36=0,"",M36/L36)</f>
        <v/>
      </c>
      <c r="O36" s="7" t="str">
        <f aca="true">IF(AND(E36="Sim",L36&gt;0),"Concluído",IF(OR(E36="Sim",L36&gt;0),"Em andamento",IF(TODAY()&gt;DATE(2026,11,2)+7*D36-1,"Atrasado","A fazer")))</f>
        <v>A fazer</v>
      </c>
      <c r="P36" s="7" t="str">
        <f aca="true">IF(F36="","",IF(OR(AND(J36&lt;&gt;"Sim",TODAY()&gt;=H36),AND(K36&lt;&gt;"Sim",TODAY()&gt;=I36)),"PENDENTE","ok"))</f>
        <v/>
      </c>
    </row>
    <row r="37" customFormat="false" ht="15" hidden="false" customHeight="false" outlineLevel="0" collapsed="false">
      <c r="A37" s="8" t="s">
        <v>49</v>
      </c>
      <c r="B37" s="7" t="s">
        <v>339</v>
      </c>
      <c r="C37" s="8" t="s">
        <v>340</v>
      </c>
      <c r="D37" s="7" t="n">
        <v>14</v>
      </c>
      <c r="E37" s="17"/>
      <c r="F37" s="21"/>
      <c r="G37" s="22" t="str">
        <f aca="false">IF(F37="","",F37+1)</f>
        <v/>
      </c>
      <c r="H37" s="22" t="str">
        <f aca="false">IF(F37="","",F37+7)</f>
        <v/>
      </c>
      <c r="I37" s="22" t="str">
        <f aca="false">IF(F37="","",F37+30)</f>
        <v/>
      </c>
      <c r="J37" s="17"/>
      <c r="K37" s="17"/>
      <c r="L37" s="7" t="n">
        <f aca="false">SUMIFS('Registro diário'!$G$6:$G$504,'Registro diário'!$D$6:$D$504,B37)</f>
        <v>0</v>
      </c>
      <c r="M37" s="7" t="n">
        <f aca="false">SUMIFS('Registro diário'!$H$6:$H$504,'Registro diário'!$D$6:$D$504,B37)</f>
        <v>0</v>
      </c>
      <c r="N37" s="18" t="str">
        <f aca="false">IF(L37=0,"",M37/L37)</f>
        <v/>
      </c>
      <c r="O37" s="7" t="str">
        <f aca="true">IF(AND(E37="Sim",L37&gt;0),"Concluído",IF(OR(E37="Sim",L37&gt;0),"Em andamento",IF(TODAY()&gt;DATE(2026,11,2)+7*D37-1,"Atrasado","A fazer")))</f>
        <v>A fazer</v>
      </c>
      <c r="P37" s="7" t="str">
        <f aca="true">IF(F37="","",IF(OR(AND(J37&lt;&gt;"Sim",TODAY()&gt;=H37),AND(K37&lt;&gt;"Sim",TODAY()&gt;=I37)),"PENDENTE","ok"))</f>
        <v/>
      </c>
    </row>
    <row r="38" customFormat="false" ht="15" hidden="false" customHeight="false" outlineLevel="0" collapsed="false">
      <c r="A38" s="8" t="s">
        <v>49</v>
      </c>
      <c r="B38" s="7" t="s">
        <v>341</v>
      </c>
      <c r="C38" s="8" t="s">
        <v>342</v>
      </c>
      <c r="D38" s="7" t="n">
        <v>16</v>
      </c>
      <c r="E38" s="17"/>
      <c r="F38" s="21"/>
      <c r="G38" s="22" t="str">
        <f aca="false">IF(F38="","",F38+1)</f>
        <v/>
      </c>
      <c r="H38" s="22" t="str">
        <f aca="false">IF(F38="","",F38+7)</f>
        <v/>
      </c>
      <c r="I38" s="22" t="str">
        <f aca="false">IF(F38="","",F38+30)</f>
        <v/>
      </c>
      <c r="J38" s="17"/>
      <c r="K38" s="17"/>
      <c r="L38" s="7" t="n">
        <f aca="false">SUMIFS('Registro diário'!$G$6:$G$504,'Registro diário'!$D$6:$D$504,B38)</f>
        <v>0</v>
      </c>
      <c r="M38" s="7" t="n">
        <f aca="false">SUMIFS('Registro diário'!$H$6:$H$504,'Registro diário'!$D$6:$D$504,B38)</f>
        <v>0</v>
      </c>
      <c r="N38" s="18" t="str">
        <f aca="false">IF(L38=0,"",M38/L38)</f>
        <v/>
      </c>
      <c r="O38" s="7" t="str">
        <f aca="true">IF(AND(E38="Sim",L38&gt;0),"Concluído",IF(OR(E38="Sim",L38&gt;0),"Em andamento",IF(TODAY()&gt;DATE(2026,11,2)+7*D38-1,"Atrasado","A fazer")))</f>
        <v>A fazer</v>
      </c>
      <c r="P38" s="7" t="str">
        <f aca="true">IF(F38="","",IF(OR(AND(J38&lt;&gt;"Sim",TODAY()&gt;=H38),AND(K38&lt;&gt;"Sim",TODAY()&gt;=I38)),"PENDENTE","ok"))</f>
        <v/>
      </c>
    </row>
    <row r="39" customFormat="false" ht="15" hidden="false" customHeight="false" outlineLevel="0" collapsed="false">
      <c r="A39" s="8" t="s">
        <v>49</v>
      </c>
      <c r="B39" s="7" t="s">
        <v>343</v>
      </c>
      <c r="C39" s="8" t="s">
        <v>344</v>
      </c>
      <c r="D39" s="7" t="n">
        <v>17</v>
      </c>
      <c r="E39" s="17"/>
      <c r="F39" s="21"/>
      <c r="G39" s="22" t="str">
        <f aca="false">IF(F39="","",F39+1)</f>
        <v/>
      </c>
      <c r="H39" s="22" t="str">
        <f aca="false">IF(F39="","",F39+7)</f>
        <v/>
      </c>
      <c r="I39" s="22" t="str">
        <f aca="false">IF(F39="","",F39+30)</f>
        <v/>
      </c>
      <c r="J39" s="17"/>
      <c r="K39" s="17"/>
      <c r="L39" s="7" t="n">
        <f aca="false">SUMIFS('Registro diário'!$G$6:$G$504,'Registro diário'!$D$6:$D$504,B39)</f>
        <v>0</v>
      </c>
      <c r="M39" s="7" t="n">
        <f aca="false">SUMIFS('Registro diário'!$H$6:$H$504,'Registro diário'!$D$6:$D$504,B39)</f>
        <v>0</v>
      </c>
      <c r="N39" s="18" t="str">
        <f aca="false">IF(L39=0,"",M39/L39)</f>
        <v/>
      </c>
      <c r="O39" s="7" t="str">
        <f aca="true">IF(AND(E39="Sim",L39&gt;0),"Concluído",IF(OR(E39="Sim",L39&gt;0),"Em andamento",IF(TODAY()&gt;DATE(2026,11,2)+7*D39-1,"Atrasado","A fazer")))</f>
        <v>A fazer</v>
      </c>
      <c r="P39" s="7" t="str">
        <f aca="true">IF(F39="","",IF(OR(AND(J39&lt;&gt;"Sim",TODAY()&gt;=H39),AND(K39&lt;&gt;"Sim",TODAY()&gt;=I39)),"PENDENTE","ok"))</f>
        <v/>
      </c>
    </row>
    <row r="40" customFormat="false" ht="15" hidden="false" customHeight="false" outlineLevel="0" collapsed="false">
      <c r="A40" s="8" t="s">
        <v>49</v>
      </c>
      <c r="B40" s="7" t="s">
        <v>345</v>
      </c>
      <c r="C40" s="8" t="s">
        <v>346</v>
      </c>
      <c r="D40" s="7" t="n">
        <v>18</v>
      </c>
      <c r="E40" s="17"/>
      <c r="F40" s="21"/>
      <c r="G40" s="22" t="str">
        <f aca="false">IF(F40="","",F40+1)</f>
        <v/>
      </c>
      <c r="H40" s="22" t="str">
        <f aca="false">IF(F40="","",F40+7)</f>
        <v/>
      </c>
      <c r="I40" s="22" t="str">
        <f aca="false">IF(F40="","",F40+30)</f>
        <v/>
      </c>
      <c r="J40" s="17"/>
      <c r="K40" s="17"/>
      <c r="L40" s="7" t="n">
        <f aca="false">SUMIFS('Registro diário'!$G$6:$G$504,'Registro diário'!$D$6:$D$504,B40)</f>
        <v>0</v>
      </c>
      <c r="M40" s="7" t="n">
        <f aca="false">SUMIFS('Registro diário'!$H$6:$H$504,'Registro diário'!$D$6:$D$504,B40)</f>
        <v>0</v>
      </c>
      <c r="N40" s="18" t="str">
        <f aca="false">IF(L40=0,"",M40/L40)</f>
        <v/>
      </c>
      <c r="O40" s="7" t="str">
        <f aca="true">IF(AND(E40="Sim",L40&gt;0),"Concluído",IF(OR(E40="Sim",L40&gt;0),"Em andamento",IF(TODAY()&gt;DATE(2026,11,2)+7*D40-1,"Atrasado","A fazer")))</f>
        <v>A fazer</v>
      </c>
      <c r="P40" s="7" t="str">
        <f aca="true">IF(F40="","",IF(OR(AND(J40&lt;&gt;"Sim",TODAY()&gt;=H40),AND(K40&lt;&gt;"Sim",TODAY()&gt;=I40)),"PENDENTE","ok"))</f>
        <v/>
      </c>
    </row>
    <row r="41" customFormat="false" ht="23.85" hidden="false" customHeight="false" outlineLevel="0" collapsed="false">
      <c r="A41" s="8" t="s">
        <v>52</v>
      </c>
      <c r="B41" s="7" t="s">
        <v>347</v>
      </c>
      <c r="C41" s="8" t="s">
        <v>348</v>
      </c>
      <c r="D41" s="7" t="n">
        <v>1</v>
      </c>
      <c r="E41" s="17"/>
      <c r="F41" s="21"/>
      <c r="G41" s="22" t="str">
        <f aca="false">IF(F41="","",F41+1)</f>
        <v/>
      </c>
      <c r="H41" s="22" t="str">
        <f aca="false">IF(F41="","",F41+7)</f>
        <v/>
      </c>
      <c r="I41" s="22" t="str">
        <f aca="false">IF(F41="","",F41+30)</f>
        <v/>
      </c>
      <c r="J41" s="17"/>
      <c r="K41" s="17"/>
      <c r="L41" s="7" t="n">
        <f aca="false">SUMIFS('Registro diário'!$G$6:$G$504,'Registro diário'!$D$6:$D$504,B41)</f>
        <v>0</v>
      </c>
      <c r="M41" s="7" t="n">
        <f aca="false">SUMIFS('Registro diário'!$H$6:$H$504,'Registro diário'!$D$6:$D$504,B41)</f>
        <v>0</v>
      </c>
      <c r="N41" s="18" t="str">
        <f aca="false">IF(L41=0,"",M41/L41)</f>
        <v/>
      </c>
      <c r="O41" s="7" t="str">
        <f aca="true">IF(AND(E41="Sim",L41&gt;0),"Concluído",IF(OR(E41="Sim",L41&gt;0),"Em andamento",IF(TODAY()&gt;DATE(2026,11,2)+7*D41-1,"Atrasado","A fazer")))</f>
        <v>A fazer</v>
      </c>
      <c r="P41" s="7" t="str">
        <f aca="true">IF(F41="","",IF(OR(AND(J41&lt;&gt;"Sim",TODAY()&gt;=H41),AND(K41&lt;&gt;"Sim",TODAY()&gt;=I41)),"PENDENTE","ok"))</f>
        <v/>
      </c>
    </row>
    <row r="42" customFormat="false" ht="15" hidden="false" customHeight="false" outlineLevel="0" collapsed="false">
      <c r="A42" s="8" t="s">
        <v>52</v>
      </c>
      <c r="B42" s="7" t="s">
        <v>349</v>
      </c>
      <c r="C42" s="8" t="s">
        <v>350</v>
      </c>
      <c r="D42" s="7" t="n">
        <v>2</v>
      </c>
      <c r="E42" s="17"/>
      <c r="F42" s="21"/>
      <c r="G42" s="22" t="str">
        <f aca="false">IF(F42="","",F42+1)</f>
        <v/>
      </c>
      <c r="H42" s="22" t="str">
        <f aca="false">IF(F42="","",F42+7)</f>
        <v/>
      </c>
      <c r="I42" s="22" t="str">
        <f aca="false">IF(F42="","",F42+30)</f>
        <v/>
      </c>
      <c r="J42" s="17"/>
      <c r="K42" s="17"/>
      <c r="L42" s="7" t="n">
        <f aca="false">SUMIFS('Registro diário'!$G$6:$G$504,'Registro diário'!$D$6:$D$504,B42)</f>
        <v>0</v>
      </c>
      <c r="M42" s="7" t="n">
        <f aca="false">SUMIFS('Registro diário'!$H$6:$H$504,'Registro diário'!$D$6:$D$504,B42)</f>
        <v>0</v>
      </c>
      <c r="N42" s="18" t="str">
        <f aca="false">IF(L42=0,"",M42/L42)</f>
        <v/>
      </c>
      <c r="O42" s="7" t="str">
        <f aca="true">IF(AND(E42="Sim",L42&gt;0),"Concluído",IF(OR(E42="Sim",L42&gt;0),"Em andamento",IF(TODAY()&gt;DATE(2026,11,2)+7*D42-1,"Atrasado","A fazer")))</f>
        <v>A fazer</v>
      </c>
      <c r="P42" s="7" t="str">
        <f aca="true">IF(F42="","",IF(OR(AND(J42&lt;&gt;"Sim",TODAY()&gt;=H42),AND(K42&lt;&gt;"Sim",TODAY()&gt;=I42)),"PENDENTE","ok"))</f>
        <v/>
      </c>
    </row>
    <row r="43" customFormat="false" ht="23.85" hidden="false" customHeight="false" outlineLevel="0" collapsed="false">
      <c r="A43" s="8" t="s">
        <v>52</v>
      </c>
      <c r="B43" s="7" t="s">
        <v>351</v>
      </c>
      <c r="C43" s="8" t="s">
        <v>352</v>
      </c>
      <c r="D43" s="7" t="n">
        <v>3</v>
      </c>
      <c r="E43" s="17"/>
      <c r="F43" s="21"/>
      <c r="G43" s="22" t="str">
        <f aca="false">IF(F43="","",F43+1)</f>
        <v/>
      </c>
      <c r="H43" s="22" t="str">
        <f aca="false">IF(F43="","",F43+7)</f>
        <v/>
      </c>
      <c r="I43" s="22" t="str">
        <f aca="false">IF(F43="","",F43+30)</f>
        <v/>
      </c>
      <c r="J43" s="17"/>
      <c r="K43" s="17"/>
      <c r="L43" s="7" t="n">
        <f aca="false">SUMIFS('Registro diário'!$G$6:$G$504,'Registro diário'!$D$6:$D$504,B43)</f>
        <v>0</v>
      </c>
      <c r="M43" s="7" t="n">
        <f aca="false">SUMIFS('Registro diário'!$H$6:$H$504,'Registro diário'!$D$6:$D$504,B43)</f>
        <v>0</v>
      </c>
      <c r="N43" s="18" t="str">
        <f aca="false">IF(L43=0,"",M43/L43)</f>
        <v/>
      </c>
      <c r="O43" s="7" t="str">
        <f aca="true">IF(AND(E43="Sim",L43&gt;0),"Concluído",IF(OR(E43="Sim",L43&gt;0),"Em andamento",IF(TODAY()&gt;DATE(2026,11,2)+7*D43-1,"Atrasado","A fazer")))</f>
        <v>A fazer</v>
      </c>
      <c r="P43" s="7" t="str">
        <f aca="true">IF(F43="","",IF(OR(AND(J43&lt;&gt;"Sim",TODAY()&gt;=H43),AND(K43&lt;&gt;"Sim",TODAY()&gt;=I43)),"PENDENTE","ok"))</f>
        <v/>
      </c>
    </row>
    <row r="44" customFormat="false" ht="23.85" hidden="false" customHeight="false" outlineLevel="0" collapsed="false">
      <c r="A44" s="8" t="s">
        <v>52</v>
      </c>
      <c r="B44" s="7" t="s">
        <v>353</v>
      </c>
      <c r="C44" s="8" t="s">
        <v>354</v>
      </c>
      <c r="D44" s="7" t="n">
        <v>4</v>
      </c>
      <c r="E44" s="17"/>
      <c r="F44" s="21"/>
      <c r="G44" s="22" t="str">
        <f aca="false">IF(F44="","",F44+1)</f>
        <v/>
      </c>
      <c r="H44" s="22" t="str">
        <f aca="false">IF(F44="","",F44+7)</f>
        <v/>
      </c>
      <c r="I44" s="22" t="str">
        <f aca="false">IF(F44="","",F44+30)</f>
        <v/>
      </c>
      <c r="J44" s="17"/>
      <c r="K44" s="17"/>
      <c r="L44" s="7" t="n">
        <f aca="false">SUMIFS('Registro diário'!$G$6:$G$504,'Registro diário'!$D$6:$D$504,B44)</f>
        <v>0</v>
      </c>
      <c r="M44" s="7" t="n">
        <f aca="false">SUMIFS('Registro diário'!$H$6:$H$504,'Registro diário'!$D$6:$D$504,B44)</f>
        <v>0</v>
      </c>
      <c r="N44" s="18" t="str">
        <f aca="false">IF(L44=0,"",M44/L44)</f>
        <v/>
      </c>
      <c r="O44" s="7" t="str">
        <f aca="true">IF(AND(E44="Sim",L44&gt;0),"Concluído",IF(OR(E44="Sim",L44&gt;0),"Em andamento",IF(TODAY()&gt;DATE(2026,11,2)+7*D44-1,"Atrasado","A fazer")))</f>
        <v>A fazer</v>
      </c>
      <c r="P44" s="7" t="str">
        <f aca="true">IF(F44="","",IF(OR(AND(J44&lt;&gt;"Sim",TODAY()&gt;=H44),AND(K44&lt;&gt;"Sim",TODAY()&gt;=I44)),"PENDENTE","ok"))</f>
        <v/>
      </c>
    </row>
    <row r="45" customFormat="false" ht="15" hidden="false" customHeight="false" outlineLevel="0" collapsed="false">
      <c r="A45" s="8" t="s">
        <v>52</v>
      </c>
      <c r="B45" s="7" t="s">
        <v>355</v>
      </c>
      <c r="C45" s="8" t="s">
        <v>356</v>
      </c>
      <c r="D45" s="7" t="n">
        <v>5</v>
      </c>
      <c r="E45" s="17"/>
      <c r="F45" s="21"/>
      <c r="G45" s="22" t="str">
        <f aca="false">IF(F45="","",F45+1)</f>
        <v/>
      </c>
      <c r="H45" s="22" t="str">
        <f aca="false">IF(F45="","",F45+7)</f>
        <v/>
      </c>
      <c r="I45" s="22" t="str">
        <f aca="false">IF(F45="","",F45+30)</f>
        <v/>
      </c>
      <c r="J45" s="17"/>
      <c r="K45" s="17"/>
      <c r="L45" s="7" t="n">
        <f aca="false">SUMIFS('Registro diário'!$G$6:$G$504,'Registro diário'!$D$6:$D$504,B45)</f>
        <v>0</v>
      </c>
      <c r="M45" s="7" t="n">
        <f aca="false">SUMIFS('Registro diário'!$H$6:$H$504,'Registro diário'!$D$6:$D$504,B45)</f>
        <v>0</v>
      </c>
      <c r="N45" s="18" t="str">
        <f aca="false">IF(L45=0,"",M45/L45)</f>
        <v/>
      </c>
      <c r="O45" s="7" t="str">
        <f aca="true">IF(AND(E45="Sim",L45&gt;0),"Concluído",IF(OR(E45="Sim",L45&gt;0),"Em andamento",IF(TODAY()&gt;DATE(2026,11,2)+7*D45-1,"Atrasado","A fazer")))</f>
        <v>A fazer</v>
      </c>
      <c r="P45" s="7" t="str">
        <f aca="true">IF(F45="","",IF(OR(AND(J45&lt;&gt;"Sim",TODAY()&gt;=H45),AND(K45&lt;&gt;"Sim",TODAY()&gt;=I45)),"PENDENTE","ok"))</f>
        <v/>
      </c>
    </row>
    <row r="46" customFormat="false" ht="23.85" hidden="false" customHeight="false" outlineLevel="0" collapsed="false">
      <c r="A46" s="8" t="s">
        <v>52</v>
      </c>
      <c r="B46" s="7" t="s">
        <v>357</v>
      </c>
      <c r="C46" s="8" t="s">
        <v>358</v>
      </c>
      <c r="D46" s="7" t="n">
        <v>6</v>
      </c>
      <c r="E46" s="17"/>
      <c r="F46" s="21"/>
      <c r="G46" s="22" t="str">
        <f aca="false">IF(F46="","",F46+1)</f>
        <v/>
      </c>
      <c r="H46" s="22" t="str">
        <f aca="false">IF(F46="","",F46+7)</f>
        <v/>
      </c>
      <c r="I46" s="22" t="str">
        <f aca="false">IF(F46="","",F46+30)</f>
        <v/>
      </c>
      <c r="J46" s="17"/>
      <c r="K46" s="17"/>
      <c r="L46" s="7" t="n">
        <f aca="false">SUMIFS('Registro diário'!$G$6:$G$504,'Registro diário'!$D$6:$D$504,B46)</f>
        <v>0</v>
      </c>
      <c r="M46" s="7" t="n">
        <f aca="false">SUMIFS('Registro diário'!$H$6:$H$504,'Registro diário'!$D$6:$D$504,B46)</f>
        <v>0</v>
      </c>
      <c r="N46" s="18" t="str">
        <f aca="false">IF(L46=0,"",M46/L46)</f>
        <v/>
      </c>
      <c r="O46" s="7" t="str">
        <f aca="true">IF(AND(E46="Sim",L46&gt;0),"Concluído",IF(OR(E46="Sim",L46&gt;0),"Em andamento",IF(TODAY()&gt;DATE(2026,11,2)+7*D46-1,"Atrasado","A fazer")))</f>
        <v>A fazer</v>
      </c>
      <c r="P46" s="7" t="str">
        <f aca="true">IF(F46="","",IF(OR(AND(J46&lt;&gt;"Sim",TODAY()&gt;=H46),AND(K46&lt;&gt;"Sim",TODAY()&gt;=I46)),"PENDENTE","ok"))</f>
        <v/>
      </c>
    </row>
    <row r="47" customFormat="false" ht="15" hidden="false" customHeight="false" outlineLevel="0" collapsed="false">
      <c r="A47" s="8" t="s">
        <v>52</v>
      </c>
      <c r="B47" s="7" t="s">
        <v>359</v>
      </c>
      <c r="C47" s="8" t="s">
        <v>360</v>
      </c>
      <c r="D47" s="7" t="n">
        <v>7</v>
      </c>
      <c r="E47" s="17"/>
      <c r="F47" s="21"/>
      <c r="G47" s="22" t="str">
        <f aca="false">IF(F47="","",F47+1)</f>
        <v/>
      </c>
      <c r="H47" s="22" t="str">
        <f aca="false">IF(F47="","",F47+7)</f>
        <v/>
      </c>
      <c r="I47" s="22" t="str">
        <f aca="false">IF(F47="","",F47+30)</f>
        <v/>
      </c>
      <c r="J47" s="17"/>
      <c r="K47" s="17"/>
      <c r="L47" s="7" t="n">
        <f aca="false">SUMIFS('Registro diário'!$G$6:$G$504,'Registro diário'!$D$6:$D$504,B47)</f>
        <v>0</v>
      </c>
      <c r="M47" s="7" t="n">
        <f aca="false">SUMIFS('Registro diário'!$H$6:$H$504,'Registro diário'!$D$6:$D$504,B47)</f>
        <v>0</v>
      </c>
      <c r="N47" s="18" t="str">
        <f aca="false">IF(L47=0,"",M47/L47)</f>
        <v/>
      </c>
      <c r="O47" s="7" t="str">
        <f aca="true">IF(AND(E47="Sim",L47&gt;0),"Concluído",IF(OR(E47="Sim",L47&gt;0),"Em andamento",IF(TODAY()&gt;DATE(2026,11,2)+7*D47-1,"Atrasado","A fazer")))</f>
        <v>A fazer</v>
      </c>
      <c r="P47" s="7" t="str">
        <f aca="true">IF(F47="","",IF(OR(AND(J47&lt;&gt;"Sim",TODAY()&gt;=H47),AND(K47&lt;&gt;"Sim",TODAY()&gt;=I47)),"PENDENTE","ok"))</f>
        <v/>
      </c>
    </row>
    <row r="48" customFormat="false" ht="23.85" hidden="false" customHeight="false" outlineLevel="0" collapsed="false">
      <c r="A48" s="8" t="s">
        <v>52</v>
      </c>
      <c r="B48" s="7" t="s">
        <v>361</v>
      </c>
      <c r="C48" s="8" t="s">
        <v>362</v>
      </c>
      <c r="D48" s="7" t="n">
        <v>9</v>
      </c>
      <c r="E48" s="17"/>
      <c r="F48" s="21"/>
      <c r="G48" s="22" t="str">
        <f aca="false">IF(F48="","",F48+1)</f>
        <v/>
      </c>
      <c r="H48" s="22" t="str">
        <f aca="false">IF(F48="","",F48+7)</f>
        <v/>
      </c>
      <c r="I48" s="22" t="str">
        <f aca="false">IF(F48="","",F48+30)</f>
        <v/>
      </c>
      <c r="J48" s="17"/>
      <c r="K48" s="17"/>
      <c r="L48" s="7" t="n">
        <f aca="false">SUMIFS('Registro diário'!$G$6:$G$504,'Registro diário'!$D$6:$D$504,B48)</f>
        <v>0</v>
      </c>
      <c r="M48" s="7" t="n">
        <f aca="false">SUMIFS('Registro diário'!$H$6:$H$504,'Registro diário'!$D$6:$D$504,B48)</f>
        <v>0</v>
      </c>
      <c r="N48" s="18" t="str">
        <f aca="false">IF(L48=0,"",M48/L48)</f>
        <v/>
      </c>
      <c r="O48" s="7" t="str">
        <f aca="true">IF(AND(E48="Sim",L48&gt;0),"Concluído",IF(OR(E48="Sim",L48&gt;0),"Em andamento",IF(TODAY()&gt;DATE(2026,11,2)+7*D48-1,"Atrasado","A fazer")))</f>
        <v>A fazer</v>
      </c>
      <c r="P48" s="7" t="str">
        <f aca="true">IF(F48="","",IF(OR(AND(J48&lt;&gt;"Sim",TODAY()&gt;=H48),AND(K48&lt;&gt;"Sim",TODAY()&gt;=I48)),"PENDENTE","ok"))</f>
        <v/>
      </c>
    </row>
    <row r="49" customFormat="false" ht="23.85" hidden="false" customHeight="false" outlineLevel="0" collapsed="false">
      <c r="A49" s="8" t="s">
        <v>52</v>
      </c>
      <c r="B49" s="7" t="s">
        <v>363</v>
      </c>
      <c r="C49" s="8" t="s">
        <v>364</v>
      </c>
      <c r="D49" s="7" t="n">
        <v>10</v>
      </c>
      <c r="E49" s="17"/>
      <c r="F49" s="21"/>
      <c r="G49" s="22" t="str">
        <f aca="false">IF(F49="","",F49+1)</f>
        <v/>
      </c>
      <c r="H49" s="22" t="str">
        <f aca="false">IF(F49="","",F49+7)</f>
        <v/>
      </c>
      <c r="I49" s="22" t="str">
        <f aca="false">IF(F49="","",F49+30)</f>
        <v/>
      </c>
      <c r="J49" s="17"/>
      <c r="K49" s="17"/>
      <c r="L49" s="7" t="n">
        <f aca="false">SUMIFS('Registro diário'!$G$6:$G$504,'Registro diário'!$D$6:$D$504,B49)</f>
        <v>0</v>
      </c>
      <c r="M49" s="7" t="n">
        <f aca="false">SUMIFS('Registro diário'!$H$6:$H$504,'Registro diário'!$D$6:$D$504,B49)</f>
        <v>0</v>
      </c>
      <c r="N49" s="18" t="str">
        <f aca="false">IF(L49=0,"",M49/L49)</f>
        <v/>
      </c>
      <c r="O49" s="7" t="str">
        <f aca="true">IF(AND(E49="Sim",L49&gt;0),"Concluído",IF(OR(E49="Sim",L49&gt;0),"Em andamento",IF(TODAY()&gt;DATE(2026,11,2)+7*D49-1,"Atrasado","A fazer")))</f>
        <v>A fazer</v>
      </c>
      <c r="P49" s="7" t="str">
        <f aca="true">IF(F49="","",IF(OR(AND(J49&lt;&gt;"Sim",TODAY()&gt;=H49),AND(K49&lt;&gt;"Sim",TODAY()&gt;=I49)),"PENDENTE","ok"))</f>
        <v/>
      </c>
    </row>
    <row r="50" customFormat="false" ht="35.05" hidden="false" customHeight="false" outlineLevel="0" collapsed="false">
      <c r="A50" s="8" t="s">
        <v>52</v>
      </c>
      <c r="B50" s="7" t="s">
        <v>365</v>
      </c>
      <c r="C50" s="8" t="s">
        <v>366</v>
      </c>
      <c r="D50" s="7" t="n">
        <v>11</v>
      </c>
      <c r="E50" s="17"/>
      <c r="F50" s="21"/>
      <c r="G50" s="22" t="str">
        <f aca="false">IF(F50="","",F50+1)</f>
        <v/>
      </c>
      <c r="H50" s="22" t="str">
        <f aca="false">IF(F50="","",F50+7)</f>
        <v/>
      </c>
      <c r="I50" s="22" t="str">
        <f aca="false">IF(F50="","",F50+30)</f>
        <v/>
      </c>
      <c r="J50" s="17"/>
      <c r="K50" s="17"/>
      <c r="L50" s="7" t="n">
        <f aca="false">SUMIFS('Registro diário'!$G$6:$G$504,'Registro diário'!$D$6:$D$504,B50)</f>
        <v>0</v>
      </c>
      <c r="M50" s="7" t="n">
        <f aca="false">SUMIFS('Registro diário'!$H$6:$H$504,'Registro diário'!$D$6:$D$504,B50)</f>
        <v>0</v>
      </c>
      <c r="N50" s="18" t="str">
        <f aca="false">IF(L50=0,"",M50/L50)</f>
        <v/>
      </c>
      <c r="O50" s="7" t="str">
        <f aca="true">IF(AND(E50="Sim",L50&gt;0),"Concluído",IF(OR(E50="Sim",L50&gt;0),"Em andamento",IF(TODAY()&gt;DATE(2026,11,2)+7*D50-1,"Atrasado","A fazer")))</f>
        <v>A fazer</v>
      </c>
      <c r="P50" s="7" t="str">
        <f aca="true">IF(F50="","",IF(OR(AND(J50&lt;&gt;"Sim",TODAY()&gt;=H50),AND(K50&lt;&gt;"Sim",TODAY()&gt;=I50)),"PENDENTE","ok"))</f>
        <v/>
      </c>
    </row>
    <row r="51" customFormat="false" ht="23.85" hidden="false" customHeight="false" outlineLevel="0" collapsed="false">
      <c r="A51" s="8" t="s">
        <v>52</v>
      </c>
      <c r="B51" s="7" t="s">
        <v>367</v>
      </c>
      <c r="C51" s="8" t="s">
        <v>368</v>
      </c>
      <c r="D51" s="7" t="n">
        <v>12</v>
      </c>
      <c r="E51" s="17"/>
      <c r="F51" s="21"/>
      <c r="G51" s="22" t="str">
        <f aca="false">IF(F51="","",F51+1)</f>
        <v/>
      </c>
      <c r="H51" s="22" t="str">
        <f aca="false">IF(F51="","",F51+7)</f>
        <v/>
      </c>
      <c r="I51" s="22" t="str">
        <f aca="false">IF(F51="","",F51+30)</f>
        <v/>
      </c>
      <c r="J51" s="17"/>
      <c r="K51" s="17"/>
      <c r="L51" s="7" t="n">
        <f aca="false">SUMIFS('Registro diário'!$G$6:$G$504,'Registro diário'!$D$6:$D$504,B51)</f>
        <v>0</v>
      </c>
      <c r="M51" s="7" t="n">
        <f aca="false">SUMIFS('Registro diário'!$H$6:$H$504,'Registro diário'!$D$6:$D$504,B51)</f>
        <v>0</v>
      </c>
      <c r="N51" s="18" t="str">
        <f aca="false">IF(L51=0,"",M51/L51)</f>
        <v/>
      </c>
      <c r="O51" s="7" t="str">
        <f aca="true">IF(AND(E51="Sim",L51&gt;0),"Concluído",IF(OR(E51="Sim",L51&gt;0),"Em andamento",IF(TODAY()&gt;DATE(2026,11,2)+7*D51-1,"Atrasado","A fazer")))</f>
        <v>A fazer</v>
      </c>
      <c r="P51" s="7" t="str">
        <f aca="true">IF(F51="","",IF(OR(AND(J51&lt;&gt;"Sim",TODAY()&gt;=H51),AND(K51&lt;&gt;"Sim",TODAY()&gt;=I51)),"PENDENTE","ok"))</f>
        <v/>
      </c>
    </row>
    <row r="52" customFormat="false" ht="15" hidden="false" customHeight="false" outlineLevel="0" collapsed="false">
      <c r="A52" s="8" t="s">
        <v>52</v>
      </c>
      <c r="B52" s="7" t="s">
        <v>369</v>
      </c>
      <c r="C52" s="8" t="s">
        <v>370</v>
      </c>
      <c r="D52" s="7" t="n">
        <v>13</v>
      </c>
      <c r="E52" s="17"/>
      <c r="F52" s="21"/>
      <c r="G52" s="22" t="str">
        <f aca="false">IF(F52="","",F52+1)</f>
        <v/>
      </c>
      <c r="H52" s="22" t="str">
        <f aca="false">IF(F52="","",F52+7)</f>
        <v/>
      </c>
      <c r="I52" s="22" t="str">
        <f aca="false">IF(F52="","",F52+30)</f>
        <v/>
      </c>
      <c r="J52" s="17"/>
      <c r="K52" s="17"/>
      <c r="L52" s="7" t="n">
        <f aca="false">SUMIFS('Registro diário'!$G$6:$G$504,'Registro diário'!$D$6:$D$504,B52)</f>
        <v>0</v>
      </c>
      <c r="M52" s="7" t="n">
        <f aca="false">SUMIFS('Registro diário'!$H$6:$H$504,'Registro diário'!$D$6:$D$504,B52)</f>
        <v>0</v>
      </c>
      <c r="N52" s="18" t="str">
        <f aca="false">IF(L52=0,"",M52/L52)</f>
        <v/>
      </c>
      <c r="O52" s="7" t="str">
        <f aca="true">IF(AND(E52="Sim",L52&gt;0),"Concluído",IF(OR(E52="Sim",L52&gt;0),"Em andamento",IF(TODAY()&gt;DATE(2026,11,2)+7*D52-1,"Atrasado","A fazer")))</f>
        <v>A fazer</v>
      </c>
      <c r="P52" s="7" t="str">
        <f aca="true">IF(F52="","",IF(OR(AND(J52&lt;&gt;"Sim",TODAY()&gt;=H52),AND(K52&lt;&gt;"Sim",TODAY()&gt;=I52)),"PENDENTE","ok"))</f>
        <v/>
      </c>
    </row>
    <row r="53" customFormat="false" ht="46.25" hidden="false" customHeight="false" outlineLevel="0" collapsed="false">
      <c r="A53" s="8" t="s">
        <v>52</v>
      </c>
      <c r="B53" s="7" t="s">
        <v>371</v>
      </c>
      <c r="C53" s="8" t="s">
        <v>372</v>
      </c>
      <c r="D53" s="7" t="n">
        <v>14</v>
      </c>
      <c r="E53" s="17"/>
      <c r="F53" s="21"/>
      <c r="G53" s="22" t="str">
        <f aca="false">IF(F53="","",F53+1)</f>
        <v/>
      </c>
      <c r="H53" s="22" t="str">
        <f aca="false">IF(F53="","",F53+7)</f>
        <v/>
      </c>
      <c r="I53" s="22" t="str">
        <f aca="false">IF(F53="","",F53+30)</f>
        <v/>
      </c>
      <c r="J53" s="17"/>
      <c r="K53" s="17"/>
      <c r="L53" s="7" t="n">
        <f aca="false">SUMIFS('Registro diário'!$G$6:$G$504,'Registro diário'!$D$6:$D$504,B53)</f>
        <v>0</v>
      </c>
      <c r="M53" s="7" t="n">
        <f aca="false">SUMIFS('Registro diário'!$H$6:$H$504,'Registro diário'!$D$6:$D$504,B53)</f>
        <v>0</v>
      </c>
      <c r="N53" s="18" t="str">
        <f aca="false">IF(L53=0,"",M53/L53)</f>
        <v/>
      </c>
      <c r="O53" s="7" t="str">
        <f aca="true">IF(AND(E53="Sim",L53&gt;0),"Concluído",IF(OR(E53="Sim",L53&gt;0),"Em andamento",IF(TODAY()&gt;DATE(2026,11,2)+7*D53-1,"Atrasado","A fazer")))</f>
        <v>A fazer</v>
      </c>
      <c r="P53" s="7" t="str">
        <f aca="true">IF(F53="","",IF(OR(AND(J53&lt;&gt;"Sim",TODAY()&gt;=H53),AND(K53&lt;&gt;"Sim",TODAY()&gt;=I53)),"PENDENTE","ok"))</f>
        <v/>
      </c>
    </row>
    <row r="54" customFormat="false" ht="23.85" hidden="false" customHeight="false" outlineLevel="0" collapsed="false">
      <c r="A54" s="8" t="s">
        <v>52</v>
      </c>
      <c r="B54" s="7" t="s">
        <v>373</v>
      </c>
      <c r="C54" s="8" t="s">
        <v>374</v>
      </c>
      <c r="D54" s="7" t="n">
        <v>16</v>
      </c>
      <c r="E54" s="17"/>
      <c r="F54" s="21"/>
      <c r="G54" s="22" t="str">
        <f aca="false">IF(F54="","",F54+1)</f>
        <v/>
      </c>
      <c r="H54" s="22" t="str">
        <f aca="false">IF(F54="","",F54+7)</f>
        <v/>
      </c>
      <c r="I54" s="22" t="str">
        <f aca="false">IF(F54="","",F54+30)</f>
        <v/>
      </c>
      <c r="J54" s="17"/>
      <c r="K54" s="17"/>
      <c r="L54" s="7" t="n">
        <f aca="false">SUMIFS('Registro diário'!$G$6:$G$504,'Registro diário'!$D$6:$D$504,B54)</f>
        <v>0</v>
      </c>
      <c r="M54" s="7" t="n">
        <f aca="false">SUMIFS('Registro diário'!$H$6:$H$504,'Registro diário'!$D$6:$D$504,B54)</f>
        <v>0</v>
      </c>
      <c r="N54" s="18" t="str">
        <f aca="false">IF(L54=0,"",M54/L54)</f>
        <v/>
      </c>
      <c r="O54" s="7" t="str">
        <f aca="true">IF(AND(E54="Sim",L54&gt;0),"Concluído",IF(OR(E54="Sim",L54&gt;0),"Em andamento",IF(TODAY()&gt;DATE(2026,11,2)+7*D54-1,"Atrasado","A fazer")))</f>
        <v>A fazer</v>
      </c>
      <c r="P54" s="7" t="str">
        <f aca="true">IF(F54="","",IF(OR(AND(J54&lt;&gt;"Sim",TODAY()&gt;=H54),AND(K54&lt;&gt;"Sim",TODAY()&gt;=I54)),"PENDENTE","ok"))</f>
        <v/>
      </c>
    </row>
    <row r="55" customFormat="false" ht="35.05" hidden="false" customHeight="false" outlineLevel="0" collapsed="false">
      <c r="A55" s="8" t="s">
        <v>52</v>
      </c>
      <c r="B55" s="7" t="s">
        <v>375</v>
      </c>
      <c r="C55" s="8" t="s">
        <v>376</v>
      </c>
      <c r="D55" s="7" t="n">
        <v>17</v>
      </c>
      <c r="E55" s="17"/>
      <c r="F55" s="21"/>
      <c r="G55" s="22" t="str">
        <f aca="false">IF(F55="","",F55+1)</f>
        <v/>
      </c>
      <c r="H55" s="22" t="str">
        <f aca="false">IF(F55="","",F55+7)</f>
        <v/>
      </c>
      <c r="I55" s="22" t="str">
        <f aca="false">IF(F55="","",F55+30)</f>
        <v/>
      </c>
      <c r="J55" s="17"/>
      <c r="K55" s="17"/>
      <c r="L55" s="7" t="n">
        <f aca="false">SUMIFS('Registro diário'!$G$6:$G$504,'Registro diário'!$D$6:$D$504,B55)</f>
        <v>0</v>
      </c>
      <c r="M55" s="7" t="n">
        <f aca="false">SUMIFS('Registro diário'!$H$6:$H$504,'Registro diário'!$D$6:$D$504,B55)</f>
        <v>0</v>
      </c>
      <c r="N55" s="18" t="str">
        <f aca="false">IF(L55=0,"",M55/L55)</f>
        <v/>
      </c>
      <c r="O55" s="7" t="str">
        <f aca="true">IF(AND(E55="Sim",L55&gt;0),"Concluído",IF(OR(E55="Sim",L55&gt;0),"Em andamento",IF(TODAY()&gt;DATE(2026,11,2)+7*D55-1,"Atrasado","A fazer")))</f>
        <v>A fazer</v>
      </c>
      <c r="P55" s="7" t="str">
        <f aca="true">IF(F55="","",IF(OR(AND(J55&lt;&gt;"Sim",TODAY()&gt;=H55),AND(K55&lt;&gt;"Sim",TODAY()&gt;=I55)),"PENDENTE","ok"))</f>
        <v/>
      </c>
    </row>
    <row r="56" customFormat="false" ht="23.85" hidden="false" customHeight="false" outlineLevel="0" collapsed="false">
      <c r="A56" s="8" t="s">
        <v>52</v>
      </c>
      <c r="B56" s="7" t="s">
        <v>377</v>
      </c>
      <c r="C56" s="8" t="s">
        <v>378</v>
      </c>
      <c r="D56" s="7" t="n">
        <v>18</v>
      </c>
      <c r="E56" s="17"/>
      <c r="F56" s="21"/>
      <c r="G56" s="22" t="str">
        <f aca="false">IF(F56="","",F56+1)</f>
        <v/>
      </c>
      <c r="H56" s="22" t="str">
        <f aca="false">IF(F56="","",F56+7)</f>
        <v/>
      </c>
      <c r="I56" s="22" t="str">
        <f aca="false">IF(F56="","",F56+30)</f>
        <v/>
      </c>
      <c r="J56" s="17"/>
      <c r="K56" s="17"/>
      <c r="L56" s="7" t="n">
        <f aca="false">SUMIFS('Registro diário'!$G$6:$G$504,'Registro diário'!$D$6:$D$504,B56)</f>
        <v>0</v>
      </c>
      <c r="M56" s="7" t="n">
        <f aca="false">SUMIFS('Registro diário'!$H$6:$H$504,'Registro diário'!$D$6:$D$504,B56)</f>
        <v>0</v>
      </c>
      <c r="N56" s="18" t="str">
        <f aca="false">IF(L56=0,"",M56/L56)</f>
        <v/>
      </c>
      <c r="O56" s="7" t="str">
        <f aca="true">IF(AND(E56="Sim",L56&gt;0),"Concluído",IF(OR(E56="Sim",L56&gt;0),"Em andamento",IF(TODAY()&gt;DATE(2026,11,2)+7*D56-1,"Atrasado","A fazer")))</f>
        <v>A fazer</v>
      </c>
      <c r="P56" s="7" t="str">
        <f aca="true">IF(F56="","",IF(OR(AND(J56&lt;&gt;"Sim",TODAY()&gt;=H56),AND(K56&lt;&gt;"Sim",TODAY()&gt;=I56)),"PENDENTE","ok"))</f>
        <v/>
      </c>
    </row>
    <row r="57" customFormat="false" ht="23.85" hidden="false" customHeight="false" outlineLevel="0" collapsed="false">
      <c r="A57" s="8" t="s">
        <v>52</v>
      </c>
      <c r="B57" s="7" t="s">
        <v>379</v>
      </c>
      <c r="C57" s="8" t="s">
        <v>380</v>
      </c>
      <c r="D57" s="7" t="n">
        <v>19</v>
      </c>
      <c r="E57" s="17"/>
      <c r="F57" s="21"/>
      <c r="G57" s="22" t="str">
        <f aca="false">IF(F57="","",F57+1)</f>
        <v/>
      </c>
      <c r="H57" s="22" t="str">
        <f aca="false">IF(F57="","",F57+7)</f>
        <v/>
      </c>
      <c r="I57" s="22" t="str">
        <f aca="false">IF(F57="","",F57+30)</f>
        <v/>
      </c>
      <c r="J57" s="17"/>
      <c r="K57" s="17"/>
      <c r="L57" s="7" t="n">
        <f aca="false">SUMIFS('Registro diário'!$G$6:$G$504,'Registro diário'!$D$6:$D$504,B57)</f>
        <v>0</v>
      </c>
      <c r="M57" s="7" t="n">
        <f aca="false">SUMIFS('Registro diário'!$H$6:$H$504,'Registro diário'!$D$6:$D$504,B57)</f>
        <v>0</v>
      </c>
      <c r="N57" s="18" t="str">
        <f aca="false">IF(L57=0,"",M57/L57)</f>
        <v/>
      </c>
      <c r="O57" s="7" t="str">
        <f aca="true">IF(AND(E57="Sim",L57&gt;0),"Concluído",IF(OR(E57="Sim",L57&gt;0),"Em andamento",IF(TODAY()&gt;DATE(2026,11,2)+7*D57-1,"Atrasado","A fazer")))</f>
        <v>A fazer</v>
      </c>
      <c r="P57" s="7" t="str">
        <f aca="true">IF(F57="","",IF(OR(AND(J57&lt;&gt;"Sim",TODAY()&gt;=H57),AND(K57&lt;&gt;"Sim",TODAY()&gt;=I57)),"PENDENTE","ok"))</f>
        <v/>
      </c>
    </row>
  </sheetData>
  <mergeCells count="1">
    <mergeCell ref="C4:D4"/>
  </mergeCells>
  <conditionalFormatting sqref="O7:O57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1">
      <formula>"Atrasado"</formula>
    </cfRule>
  </conditionalFormatting>
  <conditionalFormatting sqref="P7:P57">
    <cfRule type="cellIs" priority="4" operator="equal" aboveAverage="0" equalAverage="0" bottom="0" percent="0" rank="0" text="" dxfId="2">
      <formula>"PENDENTE"</formula>
    </cfRule>
  </conditionalFormatting>
  <conditionalFormatting sqref="N7:N57">
    <cfRule type="expression" priority="5" aboveAverage="0" equalAverage="0" bottom="0" percent="0" rank="0" text="" dxfId="3">
      <formula>AND(ISNUMBER(N7),N7&lt;0.6)</formula>
    </cfRule>
  </conditionalFormatting>
  <dataValidations count="2">
    <dataValidation allowBlank="true" errorStyle="stop" operator="between" showDropDown="false" showErrorMessage="false" showInputMessage="false" sqref="E7:E57" type="list">
      <formula1>"Sim,Não"</formula1>
      <formula2>0</formula2>
    </dataValidation>
    <dataValidation allowBlank="true" errorStyle="stop" operator="between" showDropDown="false" showErrorMessage="false" showInputMessage="false" sqref="J7:K57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" min="6" style="0" width="10"/>
    <col collapsed="false" customWidth="true" hidden="false" outlineLevel="0" max="10" min="10" style="0" width="40"/>
    <col collapsed="false" customWidth="true" hidden="true" outlineLevel="0" max="26" min="26" style="0" width="13"/>
  </cols>
  <sheetData>
    <row r="1" customFormat="false" ht="19.7" hidden="false" customHeight="false" outlineLevel="0" collapsed="false">
      <c r="A1" s="1" t="s">
        <v>381</v>
      </c>
    </row>
    <row r="2" customFormat="false" ht="15" hidden="false" customHeight="false" outlineLevel="0" collapsed="false">
      <c r="A2" s="2" t="s">
        <v>382</v>
      </c>
    </row>
    <row r="3" customFormat="false" ht="15" hidden="false" customHeight="false" outlineLevel="0" collapsed="false">
      <c r="A3" s="2" t="s">
        <v>383</v>
      </c>
    </row>
    <row r="4" customFormat="false" ht="23.85" hidden="false" customHeight="false" outlineLevel="0" collapsed="false">
      <c r="A4" s="23" t="s">
        <v>384</v>
      </c>
      <c r="B4" s="23" t="s">
        <v>35</v>
      </c>
      <c r="C4" s="23" t="s">
        <v>37</v>
      </c>
      <c r="D4" s="23" t="s">
        <v>279</v>
      </c>
      <c r="E4" s="23" t="s">
        <v>61</v>
      </c>
      <c r="F4" s="23" t="n">
        <v>60</v>
      </c>
      <c r="G4" s="23" t="n">
        <v>15</v>
      </c>
      <c r="H4" s="23" t="n">
        <v>10</v>
      </c>
      <c r="I4" s="23" t="s">
        <v>385</v>
      </c>
      <c r="J4" s="24" t="s">
        <v>386</v>
      </c>
    </row>
    <row r="5" customFormat="false" ht="23.85" hidden="false" customHeight="false" outlineLevel="0" collapsed="false">
      <c r="A5" s="6" t="s">
        <v>387</v>
      </c>
      <c r="B5" s="6" t="s">
        <v>75</v>
      </c>
      <c r="C5" s="6" t="s">
        <v>31</v>
      </c>
      <c r="D5" s="6" t="s">
        <v>388</v>
      </c>
      <c r="E5" s="6" t="s">
        <v>389</v>
      </c>
      <c r="F5" s="6" t="s">
        <v>390</v>
      </c>
      <c r="G5" s="6" t="s">
        <v>61</v>
      </c>
      <c r="H5" s="6" t="s">
        <v>277</v>
      </c>
      <c r="I5" s="6" t="s">
        <v>278</v>
      </c>
      <c r="J5" s="6" t="s">
        <v>391</v>
      </c>
    </row>
    <row r="6" customFormat="false" ht="15" hidden="false" customHeight="false" outlineLevel="0" collapsed="false">
      <c r="A6" s="21"/>
      <c r="B6" s="7" t="str">
        <f aca="false">IF(A6="","",INT((A6-DATE(2026,11,2))/7)+1)</f>
        <v/>
      </c>
      <c r="C6" s="17"/>
      <c r="D6" s="17"/>
      <c r="E6" s="17"/>
      <c r="F6" s="17"/>
      <c r="G6" s="17"/>
      <c r="H6" s="17"/>
      <c r="I6" s="18" t="str">
        <f aca="false">IF(OR(G6="",G6=0),"",H6/G6)</f>
        <v/>
      </c>
      <c r="J6" s="12"/>
      <c r="Z6" s="11" t="s">
        <v>279</v>
      </c>
    </row>
    <row r="7" customFormat="false" ht="15" hidden="false" customHeight="false" outlineLevel="0" collapsed="false">
      <c r="A7" s="21"/>
      <c r="B7" s="7" t="str">
        <f aca="false">IF(A7="","",INT((A7-DATE(2026,11,2))/7)+1)</f>
        <v/>
      </c>
      <c r="C7" s="17"/>
      <c r="D7" s="17"/>
      <c r="E7" s="17"/>
      <c r="F7" s="17"/>
      <c r="G7" s="17"/>
      <c r="H7" s="17"/>
      <c r="I7" s="18" t="str">
        <f aca="false">IF(OR(G7="",G7=0),"",H7/G7)</f>
        <v/>
      </c>
      <c r="J7" s="12"/>
      <c r="Z7" s="11" t="s">
        <v>281</v>
      </c>
    </row>
    <row r="8" customFormat="false" ht="15" hidden="false" customHeight="false" outlineLevel="0" collapsed="false">
      <c r="A8" s="21"/>
      <c r="B8" s="7" t="str">
        <f aca="false">IF(A8="","",INT((A8-DATE(2026,11,2))/7)+1)</f>
        <v/>
      </c>
      <c r="C8" s="17"/>
      <c r="D8" s="17"/>
      <c r="E8" s="17"/>
      <c r="F8" s="17"/>
      <c r="G8" s="17"/>
      <c r="H8" s="17"/>
      <c r="I8" s="18" t="str">
        <f aca="false">IF(OR(G8="",G8=0),"",H8/G8)</f>
        <v/>
      </c>
      <c r="J8" s="12"/>
      <c r="Z8" s="11" t="s">
        <v>283</v>
      </c>
    </row>
    <row r="9" customFormat="false" ht="15" hidden="false" customHeight="false" outlineLevel="0" collapsed="false">
      <c r="A9" s="21"/>
      <c r="B9" s="7" t="str">
        <f aca="false">IF(A9="","",INT((A9-DATE(2026,11,2))/7)+1)</f>
        <v/>
      </c>
      <c r="C9" s="17"/>
      <c r="D9" s="17"/>
      <c r="E9" s="17"/>
      <c r="F9" s="17"/>
      <c r="G9" s="17"/>
      <c r="H9" s="17"/>
      <c r="I9" s="18" t="str">
        <f aca="false">IF(OR(G9="",G9=0),"",H9/G9)</f>
        <v/>
      </c>
      <c r="J9" s="12"/>
      <c r="Z9" s="11" t="s">
        <v>285</v>
      </c>
    </row>
    <row r="10" customFormat="false" ht="15" hidden="false" customHeight="false" outlineLevel="0" collapsed="false">
      <c r="A10" s="21"/>
      <c r="B10" s="7" t="str">
        <f aca="false">IF(A10="","",INT((A10-DATE(2026,11,2))/7)+1)</f>
        <v/>
      </c>
      <c r="C10" s="17"/>
      <c r="D10" s="17"/>
      <c r="E10" s="17"/>
      <c r="F10" s="17"/>
      <c r="G10" s="17"/>
      <c r="H10" s="17"/>
      <c r="I10" s="18" t="str">
        <f aca="false">IF(OR(G10="",G10=0),"",H10/G10)</f>
        <v/>
      </c>
      <c r="J10" s="12"/>
      <c r="Z10" s="11" t="s">
        <v>287</v>
      </c>
    </row>
    <row r="11" customFormat="false" ht="15" hidden="false" customHeight="false" outlineLevel="0" collapsed="false">
      <c r="A11" s="21"/>
      <c r="B11" s="7" t="str">
        <f aca="false">IF(A11="","",INT((A11-DATE(2026,11,2))/7)+1)</f>
        <v/>
      </c>
      <c r="C11" s="17"/>
      <c r="D11" s="17"/>
      <c r="E11" s="17"/>
      <c r="F11" s="17"/>
      <c r="G11" s="17"/>
      <c r="H11" s="17"/>
      <c r="I11" s="18" t="str">
        <f aca="false">IF(OR(G11="",G11=0),"",H11/G11)</f>
        <v/>
      </c>
      <c r="J11" s="12"/>
      <c r="Z11" s="11" t="s">
        <v>289</v>
      </c>
    </row>
    <row r="12" customFormat="false" ht="15" hidden="false" customHeight="false" outlineLevel="0" collapsed="false">
      <c r="A12" s="21"/>
      <c r="B12" s="7" t="str">
        <f aca="false">IF(A12="","",INT((A12-DATE(2026,11,2))/7)+1)</f>
        <v/>
      </c>
      <c r="C12" s="17"/>
      <c r="D12" s="17"/>
      <c r="E12" s="17"/>
      <c r="F12" s="17"/>
      <c r="G12" s="17"/>
      <c r="H12" s="17"/>
      <c r="I12" s="18" t="str">
        <f aca="false">IF(OR(G12="",G12=0),"",H12/G12)</f>
        <v/>
      </c>
      <c r="J12" s="12"/>
      <c r="Z12" s="11" t="s">
        <v>291</v>
      </c>
    </row>
    <row r="13" customFormat="false" ht="15" hidden="false" customHeight="false" outlineLevel="0" collapsed="false">
      <c r="A13" s="21"/>
      <c r="B13" s="7" t="str">
        <f aca="false">IF(A13="","",INT((A13-DATE(2026,11,2))/7)+1)</f>
        <v/>
      </c>
      <c r="C13" s="17"/>
      <c r="D13" s="17"/>
      <c r="E13" s="17"/>
      <c r="F13" s="17"/>
      <c r="G13" s="17"/>
      <c r="H13" s="17"/>
      <c r="I13" s="18" t="str">
        <f aca="false">IF(OR(G13="",G13=0),"",H13/G13)</f>
        <v/>
      </c>
      <c r="J13" s="12"/>
      <c r="Z13" s="11" t="s">
        <v>293</v>
      </c>
    </row>
    <row r="14" customFormat="false" ht="15" hidden="false" customHeight="false" outlineLevel="0" collapsed="false">
      <c r="A14" s="21"/>
      <c r="B14" s="7" t="str">
        <f aca="false">IF(A14="","",INT((A14-DATE(2026,11,2))/7)+1)</f>
        <v/>
      </c>
      <c r="C14" s="17"/>
      <c r="D14" s="17"/>
      <c r="E14" s="17"/>
      <c r="F14" s="17"/>
      <c r="G14" s="17"/>
      <c r="H14" s="17"/>
      <c r="I14" s="18" t="str">
        <f aca="false">IF(OR(G14="",G14=0),"",H14/G14)</f>
        <v/>
      </c>
      <c r="J14" s="12"/>
      <c r="Z14" s="11" t="s">
        <v>295</v>
      </c>
    </row>
    <row r="15" customFormat="false" ht="15" hidden="false" customHeight="false" outlineLevel="0" collapsed="false">
      <c r="A15" s="21"/>
      <c r="B15" s="7" t="str">
        <f aca="false">IF(A15="","",INT((A15-DATE(2026,11,2))/7)+1)</f>
        <v/>
      </c>
      <c r="C15" s="17"/>
      <c r="D15" s="17"/>
      <c r="E15" s="17"/>
      <c r="F15" s="17"/>
      <c r="G15" s="17"/>
      <c r="H15" s="17"/>
      <c r="I15" s="18" t="str">
        <f aca="false">IF(OR(G15="",G15=0),"",H15/G15)</f>
        <v/>
      </c>
      <c r="J15" s="12"/>
      <c r="Z15" s="11" t="s">
        <v>297</v>
      </c>
    </row>
    <row r="16" customFormat="false" ht="15" hidden="false" customHeight="false" outlineLevel="0" collapsed="false">
      <c r="A16" s="21"/>
      <c r="B16" s="7" t="str">
        <f aca="false">IF(A16="","",INT((A16-DATE(2026,11,2))/7)+1)</f>
        <v/>
      </c>
      <c r="C16" s="17"/>
      <c r="D16" s="17"/>
      <c r="E16" s="17"/>
      <c r="F16" s="17"/>
      <c r="G16" s="17"/>
      <c r="H16" s="17"/>
      <c r="I16" s="18" t="str">
        <f aca="false">IF(OR(G16="",G16=0),"",H16/G16)</f>
        <v/>
      </c>
      <c r="J16" s="12"/>
      <c r="Z16" s="11" t="s">
        <v>299</v>
      </c>
    </row>
    <row r="17" customFormat="false" ht="15" hidden="false" customHeight="false" outlineLevel="0" collapsed="false">
      <c r="A17" s="21"/>
      <c r="B17" s="7" t="str">
        <f aca="false">IF(A17="","",INT((A17-DATE(2026,11,2))/7)+1)</f>
        <v/>
      </c>
      <c r="C17" s="17"/>
      <c r="D17" s="17"/>
      <c r="E17" s="17"/>
      <c r="F17" s="17"/>
      <c r="G17" s="17"/>
      <c r="H17" s="17"/>
      <c r="I17" s="18" t="str">
        <f aca="false">IF(OR(G17="",G17=0),"",H17/G17)</f>
        <v/>
      </c>
      <c r="J17" s="12"/>
      <c r="Z17" s="11" t="s">
        <v>301</v>
      </c>
    </row>
    <row r="18" customFormat="false" ht="15" hidden="false" customHeight="false" outlineLevel="0" collapsed="false">
      <c r="A18" s="21"/>
      <c r="B18" s="7" t="str">
        <f aca="false">IF(A18="","",INT((A18-DATE(2026,11,2))/7)+1)</f>
        <v/>
      </c>
      <c r="C18" s="17"/>
      <c r="D18" s="17"/>
      <c r="E18" s="17"/>
      <c r="F18" s="17"/>
      <c r="G18" s="17"/>
      <c r="H18" s="17"/>
      <c r="I18" s="18" t="str">
        <f aca="false">IF(OR(G18="",G18=0),"",H18/G18)</f>
        <v/>
      </c>
      <c r="J18" s="12"/>
      <c r="Z18" s="11" t="s">
        <v>303</v>
      </c>
    </row>
    <row r="19" customFormat="false" ht="15" hidden="false" customHeight="false" outlineLevel="0" collapsed="false">
      <c r="A19" s="21"/>
      <c r="B19" s="7" t="str">
        <f aca="false">IF(A19="","",INT((A19-DATE(2026,11,2))/7)+1)</f>
        <v/>
      </c>
      <c r="C19" s="17"/>
      <c r="D19" s="17"/>
      <c r="E19" s="17"/>
      <c r="F19" s="17"/>
      <c r="G19" s="17"/>
      <c r="H19" s="17"/>
      <c r="I19" s="18" t="str">
        <f aca="false">IF(OR(G19="",G19=0),"",H19/G19)</f>
        <v/>
      </c>
      <c r="J19" s="12"/>
      <c r="Z19" s="11" t="s">
        <v>305</v>
      </c>
    </row>
    <row r="20" customFormat="false" ht="15" hidden="false" customHeight="false" outlineLevel="0" collapsed="false">
      <c r="A20" s="21"/>
      <c r="B20" s="7" t="str">
        <f aca="false">IF(A20="","",INT((A20-DATE(2026,11,2))/7)+1)</f>
        <v/>
      </c>
      <c r="C20" s="17"/>
      <c r="D20" s="17"/>
      <c r="E20" s="17"/>
      <c r="F20" s="17"/>
      <c r="G20" s="17"/>
      <c r="H20" s="17"/>
      <c r="I20" s="18" t="str">
        <f aca="false">IF(OR(G20="",G20=0),"",H20/G20)</f>
        <v/>
      </c>
      <c r="J20" s="12"/>
      <c r="Z20" s="11" t="s">
        <v>307</v>
      </c>
    </row>
    <row r="21" customFormat="false" ht="15" hidden="false" customHeight="false" outlineLevel="0" collapsed="false">
      <c r="A21" s="21"/>
      <c r="B21" s="7" t="str">
        <f aca="false">IF(A21="","",INT((A21-DATE(2026,11,2))/7)+1)</f>
        <v/>
      </c>
      <c r="C21" s="17"/>
      <c r="D21" s="17"/>
      <c r="E21" s="17"/>
      <c r="F21" s="17"/>
      <c r="G21" s="17"/>
      <c r="H21" s="17"/>
      <c r="I21" s="18" t="str">
        <f aca="false">IF(OR(G21="",G21=0),"",H21/G21)</f>
        <v/>
      </c>
      <c r="J21" s="12"/>
      <c r="Z21" s="11" t="s">
        <v>309</v>
      </c>
    </row>
    <row r="22" customFormat="false" ht="15" hidden="false" customHeight="false" outlineLevel="0" collapsed="false">
      <c r="A22" s="21"/>
      <c r="B22" s="7" t="str">
        <f aca="false">IF(A22="","",INT((A22-DATE(2026,11,2))/7)+1)</f>
        <v/>
      </c>
      <c r="C22" s="17"/>
      <c r="D22" s="17"/>
      <c r="E22" s="17"/>
      <c r="F22" s="17"/>
      <c r="G22" s="17"/>
      <c r="H22" s="17"/>
      <c r="I22" s="18" t="str">
        <f aca="false">IF(OR(G22="",G22=0),"",H22/G22)</f>
        <v/>
      </c>
      <c r="J22" s="12"/>
      <c r="Z22" s="11" t="s">
        <v>311</v>
      </c>
    </row>
    <row r="23" customFormat="false" ht="15" hidden="false" customHeight="false" outlineLevel="0" collapsed="false">
      <c r="A23" s="21"/>
      <c r="B23" s="7" t="str">
        <f aca="false">IF(A23="","",INT((A23-DATE(2026,11,2))/7)+1)</f>
        <v/>
      </c>
      <c r="C23" s="17"/>
      <c r="D23" s="17"/>
      <c r="E23" s="17"/>
      <c r="F23" s="17"/>
      <c r="G23" s="17"/>
      <c r="H23" s="17"/>
      <c r="I23" s="18" t="str">
        <f aca="false">IF(OR(G23="",G23=0),"",H23/G23)</f>
        <v/>
      </c>
      <c r="J23" s="12"/>
      <c r="Z23" s="11" t="s">
        <v>313</v>
      </c>
    </row>
    <row r="24" customFormat="false" ht="15" hidden="false" customHeight="false" outlineLevel="0" collapsed="false">
      <c r="A24" s="21"/>
      <c r="B24" s="7" t="str">
        <f aca="false">IF(A24="","",INT((A24-DATE(2026,11,2))/7)+1)</f>
        <v/>
      </c>
      <c r="C24" s="17"/>
      <c r="D24" s="17"/>
      <c r="E24" s="17"/>
      <c r="F24" s="17"/>
      <c r="G24" s="17"/>
      <c r="H24" s="17"/>
      <c r="I24" s="18" t="str">
        <f aca="false">IF(OR(G24="",G24=0),"",H24/G24)</f>
        <v/>
      </c>
      <c r="J24" s="12"/>
      <c r="Z24" s="11" t="s">
        <v>315</v>
      </c>
    </row>
    <row r="25" customFormat="false" ht="15" hidden="false" customHeight="false" outlineLevel="0" collapsed="false">
      <c r="A25" s="21"/>
      <c r="B25" s="7" t="str">
        <f aca="false">IF(A25="","",INT((A25-DATE(2026,11,2))/7)+1)</f>
        <v/>
      </c>
      <c r="C25" s="17"/>
      <c r="D25" s="17"/>
      <c r="E25" s="17"/>
      <c r="F25" s="17"/>
      <c r="G25" s="17"/>
      <c r="H25" s="17"/>
      <c r="I25" s="18" t="str">
        <f aca="false">IF(OR(G25="",G25=0),"",H25/G25)</f>
        <v/>
      </c>
      <c r="J25" s="12"/>
      <c r="Z25" s="11" t="s">
        <v>317</v>
      </c>
    </row>
    <row r="26" customFormat="false" ht="15" hidden="false" customHeight="false" outlineLevel="0" collapsed="false">
      <c r="A26" s="21"/>
      <c r="B26" s="7" t="str">
        <f aca="false">IF(A26="","",INT((A26-DATE(2026,11,2))/7)+1)</f>
        <v/>
      </c>
      <c r="C26" s="17"/>
      <c r="D26" s="17"/>
      <c r="E26" s="17"/>
      <c r="F26" s="17"/>
      <c r="G26" s="17"/>
      <c r="H26" s="17"/>
      <c r="I26" s="18" t="str">
        <f aca="false">IF(OR(G26="",G26=0),"",H26/G26)</f>
        <v/>
      </c>
      <c r="J26" s="12"/>
      <c r="Z26" s="11" t="s">
        <v>319</v>
      </c>
    </row>
    <row r="27" customFormat="false" ht="15" hidden="false" customHeight="false" outlineLevel="0" collapsed="false">
      <c r="A27" s="21"/>
      <c r="B27" s="7" t="str">
        <f aca="false">IF(A27="","",INT((A27-DATE(2026,11,2))/7)+1)</f>
        <v/>
      </c>
      <c r="C27" s="17"/>
      <c r="D27" s="17"/>
      <c r="E27" s="17"/>
      <c r="F27" s="17"/>
      <c r="G27" s="17"/>
      <c r="H27" s="17"/>
      <c r="I27" s="18" t="str">
        <f aca="false">IF(OR(G27="",G27=0),"",H27/G27)</f>
        <v/>
      </c>
      <c r="J27" s="12"/>
      <c r="Z27" s="11" t="s">
        <v>321</v>
      </c>
    </row>
    <row r="28" customFormat="false" ht="15" hidden="false" customHeight="false" outlineLevel="0" collapsed="false">
      <c r="A28" s="21"/>
      <c r="B28" s="7" t="str">
        <f aca="false">IF(A28="","",INT((A28-DATE(2026,11,2))/7)+1)</f>
        <v/>
      </c>
      <c r="C28" s="17"/>
      <c r="D28" s="17"/>
      <c r="E28" s="17"/>
      <c r="F28" s="17"/>
      <c r="G28" s="17"/>
      <c r="H28" s="17"/>
      <c r="I28" s="18" t="str">
        <f aca="false">IF(OR(G28="",G28=0),"",H28/G28)</f>
        <v/>
      </c>
      <c r="J28" s="12"/>
      <c r="Z28" s="11" t="s">
        <v>323</v>
      </c>
    </row>
    <row r="29" customFormat="false" ht="15" hidden="false" customHeight="false" outlineLevel="0" collapsed="false">
      <c r="A29" s="21"/>
      <c r="B29" s="7" t="str">
        <f aca="false">IF(A29="","",INT((A29-DATE(2026,11,2))/7)+1)</f>
        <v/>
      </c>
      <c r="C29" s="17"/>
      <c r="D29" s="17"/>
      <c r="E29" s="17"/>
      <c r="F29" s="17"/>
      <c r="G29" s="17"/>
      <c r="H29" s="17"/>
      <c r="I29" s="18" t="str">
        <f aca="false">IF(OR(G29="",G29=0),"",H29/G29)</f>
        <v/>
      </c>
      <c r="J29" s="12"/>
      <c r="Z29" s="11" t="s">
        <v>325</v>
      </c>
    </row>
    <row r="30" customFormat="false" ht="15" hidden="false" customHeight="false" outlineLevel="0" collapsed="false">
      <c r="A30" s="21"/>
      <c r="B30" s="7" t="str">
        <f aca="false">IF(A30="","",INT((A30-DATE(2026,11,2))/7)+1)</f>
        <v/>
      </c>
      <c r="C30" s="17"/>
      <c r="D30" s="17"/>
      <c r="E30" s="17"/>
      <c r="F30" s="17"/>
      <c r="G30" s="17"/>
      <c r="H30" s="17"/>
      <c r="I30" s="18" t="str">
        <f aca="false">IF(OR(G30="",G30=0),"",H30/G30)</f>
        <v/>
      </c>
      <c r="J30" s="12"/>
      <c r="Z30" s="11" t="s">
        <v>327</v>
      </c>
    </row>
    <row r="31" customFormat="false" ht="15" hidden="false" customHeight="false" outlineLevel="0" collapsed="false">
      <c r="A31" s="21"/>
      <c r="B31" s="7" t="str">
        <f aca="false">IF(A31="","",INT((A31-DATE(2026,11,2))/7)+1)</f>
        <v/>
      </c>
      <c r="C31" s="17"/>
      <c r="D31" s="17"/>
      <c r="E31" s="17"/>
      <c r="F31" s="17"/>
      <c r="G31" s="17"/>
      <c r="H31" s="17"/>
      <c r="I31" s="18" t="str">
        <f aca="false">IF(OR(G31="",G31=0),"",H31/G31)</f>
        <v/>
      </c>
      <c r="J31" s="12"/>
      <c r="Z31" s="11" t="s">
        <v>329</v>
      </c>
    </row>
    <row r="32" customFormat="false" ht="15" hidden="false" customHeight="false" outlineLevel="0" collapsed="false">
      <c r="A32" s="21"/>
      <c r="B32" s="7" t="str">
        <f aca="false">IF(A32="","",INT((A32-DATE(2026,11,2))/7)+1)</f>
        <v/>
      </c>
      <c r="C32" s="17"/>
      <c r="D32" s="17"/>
      <c r="E32" s="17"/>
      <c r="F32" s="17"/>
      <c r="G32" s="17"/>
      <c r="H32" s="17"/>
      <c r="I32" s="18" t="str">
        <f aca="false">IF(OR(G32="",G32=0),"",H32/G32)</f>
        <v/>
      </c>
      <c r="J32" s="12"/>
      <c r="Z32" s="11" t="s">
        <v>331</v>
      </c>
    </row>
    <row r="33" customFormat="false" ht="15" hidden="false" customHeight="false" outlineLevel="0" collapsed="false">
      <c r="A33" s="21"/>
      <c r="B33" s="7" t="str">
        <f aca="false">IF(A33="","",INT((A33-DATE(2026,11,2))/7)+1)</f>
        <v/>
      </c>
      <c r="C33" s="17"/>
      <c r="D33" s="17"/>
      <c r="E33" s="17"/>
      <c r="F33" s="17"/>
      <c r="G33" s="17"/>
      <c r="H33" s="17"/>
      <c r="I33" s="18" t="str">
        <f aca="false">IF(OR(G33="",G33=0),"",H33/G33)</f>
        <v/>
      </c>
      <c r="J33" s="12"/>
      <c r="Z33" s="11" t="s">
        <v>333</v>
      </c>
    </row>
    <row r="34" customFormat="false" ht="15" hidden="false" customHeight="false" outlineLevel="0" collapsed="false">
      <c r="A34" s="21"/>
      <c r="B34" s="7" t="str">
        <f aca="false">IF(A34="","",INT((A34-DATE(2026,11,2))/7)+1)</f>
        <v/>
      </c>
      <c r="C34" s="17"/>
      <c r="D34" s="17"/>
      <c r="E34" s="17"/>
      <c r="F34" s="17"/>
      <c r="G34" s="17"/>
      <c r="H34" s="17"/>
      <c r="I34" s="18" t="str">
        <f aca="false">IF(OR(G34="",G34=0),"",H34/G34)</f>
        <v/>
      </c>
      <c r="J34" s="12"/>
      <c r="Z34" s="11" t="s">
        <v>335</v>
      </c>
    </row>
    <row r="35" customFormat="false" ht="15" hidden="false" customHeight="false" outlineLevel="0" collapsed="false">
      <c r="A35" s="21"/>
      <c r="B35" s="7" t="str">
        <f aca="false">IF(A35="","",INT((A35-DATE(2026,11,2))/7)+1)</f>
        <v/>
      </c>
      <c r="C35" s="17"/>
      <c r="D35" s="17"/>
      <c r="E35" s="17"/>
      <c r="F35" s="17"/>
      <c r="G35" s="17"/>
      <c r="H35" s="17"/>
      <c r="I35" s="18" t="str">
        <f aca="false">IF(OR(G35="",G35=0),"",H35/G35)</f>
        <v/>
      </c>
      <c r="J35" s="12"/>
      <c r="Z35" s="11" t="s">
        <v>337</v>
      </c>
    </row>
    <row r="36" customFormat="false" ht="15" hidden="false" customHeight="false" outlineLevel="0" collapsed="false">
      <c r="A36" s="21"/>
      <c r="B36" s="7" t="str">
        <f aca="false">IF(A36="","",INT((A36-DATE(2026,11,2))/7)+1)</f>
        <v/>
      </c>
      <c r="C36" s="17"/>
      <c r="D36" s="17"/>
      <c r="E36" s="17"/>
      <c r="F36" s="17"/>
      <c r="G36" s="17"/>
      <c r="H36" s="17"/>
      <c r="I36" s="18" t="str">
        <f aca="false">IF(OR(G36="",G36=0),"",H36/G36)</f>
        <v/>
      </c>
      <c r="J36" s="12"/>
      <c r="Z36" s="11" t="s">
        <v>339</v>
      </c>
    </row>
    <row r="37" customFormat="false" ht="15" hidden="false" customHeight="false" outlineLevel="0" collapsed="false">
      <c r="A37" s="21"/>
      <c r="B37" s="7" t="str">
        <f aca="false">IF(A37="","",INT((A37-DATE(2026,11,2))/7)+1)</f>
        <v/>
      </c>
      <c r="C37" s="17"/>
      <c r="D37" s="17"/>
      <c r="E37" s="17"/>
      <c r="F37" s="17"/>
      <c r="G37" s="17"/>
      <c r="H37" s="17"/>
      <c r="I37" s="18" t="str">
        <f aca="false">IF(OR(G37="",G37=0),"",H37/G37)</f>
        <v/>
      </c>
      <c r="J37" s="12"/>
      <c r="Z37" s="11" t="s">
        <v>341</v>
      </c>
    </row>
    <row r="38" customFormat="false" ht="15" hidden="false" customHeight="false" outlineLevel="0" collapsed="false">
      <c r="A38" s="21"/>
      <c r="B38" s="7" t="str">
        <f aca="false">IF(A38="","",INT((A38-DATE(2026,11,2))/7)+1)</f>
        <v/>
      </c>
      <c r="C38" s="17"/>
      <c r="D38" s="17"/>
      <c r="E38" s="17"/>
      <c r="F38" s="17"/>
      <c r="G38" s="17"/>
      <c r="H38" s="17"/>
      <c r="I38" s="18" t="str">
        <f aca="false">IF(OR(G38="",G38=0),"",H38/G38)</f>
        <v/>
      </c>
      <c r="J38" s="12"/>
      <c r="Z38" s="11" t="s">
        <v>343</v>
      </c>
    </row>
    <row r="39" customFormat="false" ht="15" hidden="false" customHeight="false" outlineLevel="0" collapsed="false">
      <c r="A39" s="21"/>
      <c r="B39" s="7" t="str">
        <f aca="false">IF(A39="","",INT((A39-DATE(2026,11,2))/7)+1)</f>
        <v/>
      </c>
      <c r="C39" s="17"/>
      <c r="D39" s="17"/>
      <c r="E39" s="17"/>
      <c r="F39" s="17"/>
      <c r="G39" s="17"/>
      <c r="H39" s="17"/>
      <c r="I39" s="18" t="str">
        <f aca="false">IF(OR(G39="",G39=0),"",H39/G39)</f>
        <v/>
      </c>
      <c r="J39" s="12"/>
      <c r="Z39" s="11" t="s">
        <v>345</v>
      </c>
    </row>
    <row r="40" customFormat="false" ht="15" hidden="false" customHeight="false" outlineLevel="0" collapsed="false">
      <c r="A40" s="21"/>
      <c r="B40" s="7" t="str">
        <f aca="false">IF(A40="","",INT((A40-DATE(2026,11,2))/7)+1)</f>
        <v/>
      </c>
      <c r="C40" s="17"/>
      <c r="D40" s="17"/>
      <c r="E40" s="17"/>
      <c r="F40" s="17"/>
      <c r="G40" s="17"/>
      <c r="H40" s="17"/>
      <c r="I40" s="18" t="str">
        <f aca="false">IF(OR(G40="",G40=0),"",H40/G40)</f>
        <v/>
      </c>
      <c r="J40" s="12"/>
      <c r="Z40" s="11" t="s">
        <v>347</v>
      </c>
    </row>
    <row r="41" customFormat="false" ht="15" hidden="false" customHeight="false" outlineLevel="0" collapsed="false">
      <c r="A41" s="21"/>
      <c r="B41" s="7" t="str">
        <f aca="false">IF(A41="","",INT((A41-DATE(2026,11,2))/7)+1)</f>
        <v/>
      </c>
      <c r="C41" s="17"/>
      <c r="D41" s="17"/>
      <c r="E41" s="17"/>
      <c r="F41" s="17"/>
      <c r="G41" s="17"/>
      <c r="H41" s="17"/>
      <c r="I41" s="18" t="str">
        <f aca="false">IF(OR(G41="",G41=0),"",H41/G41)</f>
        <v/>
      </c>
      <c r="J41" s="12"/>
      <c r="Z41" s="11" t="s">
        <v>349</v>
      </c>
    </row>
    <row r="42" customFormat="false" ht="15" hidden="false" customHeight="false" outlineLevel="0" collapsed="false">
      <c r="A42" s="21"/>
      <c r="B42" s="7" t="str">
        <f aca="false">IF(A42="","",INT((A42-DATE(2026,11,2))/7)+1)</f>
        <v/>
      </c>
      <c r="C42" s="17"/>
      <c r="D42" s="17"/>
      <c r="E42" s="17"/>
      <c r="F42" s="17"/>
      <c r="G42" s="17"/>
      <c r="H42" s="17"/>
      <c r="I42" s="18" t="str">
        <f aca="false">IF(OR(G42="",G42=0),"",H42/G42)</f>
        <v/>
      </c>
      <c r="J42" s="12"/>
      <c r="Z42" s="11" t="s">
        <v>351</v>
      </c>
    </row>
    <row r="43" customFormat="false" ht="15" hidden="false" customHeight="false" outlineLevel="0" collapsed="false">
      <c r="A43" s="21"/>
      <c r="B43" s="7" t="str">
        <f aca="false">IF(A43="","",INT((A43-DATE(2026,11,2))/7)+1)</f>
        <v/>
      </c>
      <c r="C43" s="17"/>
      <c r="D43" s="17"/>
      <c r="E43" s="17"/>
      <c r="F43" s="17"/>
      <c r="G43" s="17"/>
      <c r="H43" s="17"/>
      <c r="I43" s="18" t="str">
        <f aca="false">IF(OR(G43="",G43=0),"",H43/G43)</f>
        <v/>
      </c>
      <c r="J43" s="12"/>
      <c r="Z43" s="11" t="s">
        <v>353</v>
      </c>
    </row>
    <row r="44" customFormat="false" ht="15" hidden="false" customHeight="false" outlineLevel="0" collapsed="false">
      <c r="A44" s="21"/>
      <c r="B44" s="7" t="str">
        <f aca="false">IF(A44="","",INT((A44-DATE(2026,11,2))/7)+1)</f>
        <v/>
      </c>
      <c r="C44" s="17"/>
      <c r="D44" s="17"/>
      <c r="E44" s="17"/>
      <c r="F44" s="17"/>
      <c r="G44" s="17"/>
      <c r="H44" s="17"/>
      <c r="I44" s="18" t="str">
        <f aca="false">IF(OR(G44="",G44=0),"",H44/G44)</f>
        <v/>
      </c>
      <c r="J44" s="12"/>
      <c r="Z44" s="11" t="s">
        <v>355</v>
      </c>
    </row>
    <row r="45" customFormat="false" ht="15" hidden="false" customHeight="false" outlineLevel="0" collapsed="false">
      <c r="A45" s="21"/>
      <c r="B45" s="7" t="str">
        <f aca="false">IF(A45="","",INT((A45-DATE(2026,11,2))/7)+1)</f>
        <v/>
      </c>
      <c r="C45" s="17"/>
      <c r="D45" s="17"/>
      <c r="E45" s="17"/>
      <c r="F45" s="17"/>
      <c r="G45" s="17"/>
      <c r="H45" s="17"/>
      <c r="I45" s="18" t="str">
        <f aca="false">IF(OR(G45="",G45=0),"",H45/G45)</f>
        <v/>
      </c>
      <c r="J45" s="12"/>
      <c r="Z45" s="11" t="s">
        <v>357</v>
      </c>
    </row>
    <row r="46" customFormat="false" ht="15" hidden="false" customHeight="false" outlineLevel="0" collapsed="false">
      <c r="A46" s="21"/>
      <c r="B46" s="7" t="str">
        <f aca="false">IF(A46="","",INT((A46-DATE(2026,11,2))/7)+1)</f>
        <v/>
      </c>
      <c r="C46" s="17"/>
      <c r="D46" s="17"/>
      <c r="E46" s="17"/>
      <c r="F46" s="17"/>
      <c r="G46" s="17"/>
      <c r="H46" s="17"/>
      <c r="I46" s="18" t="str">
        <f aca="false">IF(OR(G46="",G46=0),"",H46/G46)</f>
        <v/>
      </c>
      <c r="J46" s="12"/>
      <c r="Z46" s="11" t="s">
        <v>359</v>
      </c>
    </row>
    <row r="47" customFormat="false" ht="15" hidden="false" customHeight="false" outlineLevel="0" collapsed="false">
      <c r="A47" s="21"/>
      <c r="B47" s="7" t="str">
        <f aca="false">IF(A47="","",INT((A47-DATE(2026,11,2))/7)+1)</f>
        <v/>
      </c>
      <c r="C47" s="17"/>
      <c r="D47" s="17"/>
      <c r="E47" s="17"/>
      <c r="F47" s="17"/>
      <c r="G47" s="17"/>
      <c r="H47" s="17"/>
      <c r="I47" s="18" t="str">
        <f aca="false">IF(OR(G47="",G47=0),"",H47/G47)</f>
        <v/>
      </c>
      <c r="J47" s="12"/>
      <c r="Z47" s="11" t="s">
        <v>361</v>
      </c>
    </row>
    <row r="48" customFormat="false" ht="15" hidden="false" customHeight="false" outlineLevel="0" collapsed="false">
      <c r="A48" s="21"/>
      <c r="B48" s="7" t="str">
        <f aca="false">IF(A48="","",INT((A48-DATE(2026,11,2))/7)+1)</f>
        <v/>
      </c>
      <c r="C48" s="17"/>
      <c r="D48" s="17"/>
      <c r="E48" s="17"/>
      <c r="F48" s="17"/>
      <c r="G48" s="17"/>
      <c r="H48" s="17"/>
      <c r="I48" s="18" t="str">
        <f aca="false">IF(OR(G48="",G48=0),"",H48/G48)</f>
        <v/>
      </c>
      <c r="J48" s="12"/>
      <c r="Z48" s="11" t="s">
        <v>363</v>
      </c>
    </row>
    <row r="49" customFormat="false" ht="15" hidden="false" customHeight="false" outlineLevel="0" collapsed="false">
      <c r="A49" s="21"/>
      <c r="B49" s="7" t="str">
        <f aca="false">IF(A49="","",INT((A49-DATE(2026,11,2))/7)+1)</f>
        <v/>
      </c>
      <c r="C49" s="17"/>
      <c r="D49" s="17"/>
      <c r="E49" s="17"/>
      <c r="F49" s="17"/>
      <c r="G49" s="17"/>
      <c r="H49" s="17"/>
      <c r="I49" s="18" t="str">
        <f aca="false">IF(OR(G49="",G49=0),"",H49/G49)</f>
        <v/>
      </c>
      <c r="J49" s="12"/>
      <c r="Z49" s="11" t="s">
        <v>365</v>
      </c>
    </row>
    <row r="50" customFormat="false" ht="15" hidden="false" customHeight="false" outlineLevel="0" collapsed="false">
      <c r="A50" s="21"/>
      <c r="B50" s="7" t="str">
        <f aca="false">IF(A50="","",INT((A50-DATE(2026,11,2))/7)+1)</f>
        <v/>
      </c>
      <c r="C50" s="17"/>
      <c r="D50" s="17"/>
      <c r="E50" s="17"/>
      <c r="F50" s="17"/>
      <c r="G50" s="17"/>
      <c r="H50" s="17"/>
      <c r="I50" s="18" t="str">
        <f aca="false">IF(OR(G50="",G50=0),"",H50/G50)</f>
        <v/>
      </c>
      <c r="J50" s="12"/>
      <c r="Z50" s="11" t="s">
        <v>367</v>
      </c>
    </row>
    <row r="51" customFormat="false" ht="15" hidden="false" customHeight="false" outlineLevel="0" collapsed="false">
      <c r="A51" s="21"/>
      <c r="B51" s="7" t="str">
        <f aca="false">IF(A51="","",INT((A51-DATE(2026,11,2))/7)+1)</f>
        <v/>
      </c>
      <c r="C51" s="17"/>
      <c r="D51" s="17"/>
      <c r="E51" s="17"/>
      <c r="F51" s="17"/>
      <c r="G51" s="17"/>
      <c r="H51" s="17"/>
      <c r="I51" s="18" t="str">
        <f aca="false">IF(OR(G51="",G51=0),"",H51/G51)</f>
        <v/>
      </c>
      <c r="J51" s="12"/>
      <c r="Z51" s="11" t="s">
        <v>369</v>
      </c>
    </row>
    <row r="52" customFormat="false" ht="15" hidden="false" customHeight="false" outlineLevel="0" collapsed="false">
      <c r="A52" s="21"/>
      <c r="B52" s="7" t="str">
        <f aca="false">IF(A52="","",INT((A52-DATE(2026,11,2))/7)+1)</f>
        <v/>
      </c>
      <c r="C52" s="17"/>
      <c r="D52" s="17"/>
      <c r="E52" s="17"/>
      <c r="F52" s="17"/>
      <c r="G52" s="17"/>
      <c r="H52" s="17"/>
      <c r="I52" s="18" t="str">
        <f aca="false">IF(OR(G52="",G52=0),"",H52/G52)</f>
        <v/>
      </c>
      <c r="J52" s="12"/>
      <c r="Z52" s="11" t="s">
        <v>371</v>
      </c>
    </row>
    <row r="53" customFormat="false" ht="15" hidden="false" customHeight="false" outlineLevel="0" collapsed="false">
      <c r="A53" s="21"/>
      <c r="B53" s="7" t="str">
        <f aca="false">IF(A53="","",INT((A53-DATE(2026,11,2))/7)+1)</f>
        <v/>
      </c>
      <c r="C53" s="17"/>
      <c r="D53" s="17"/>
      <c r="E53" s="17"/>
      <c r="F53" s="17"/>
      <c r="G53" s="17"/>
      <c r="H53" s="17"/>
      <c r="I53" s="18" t="str">
        <f aca="false">IF(OR(G53="",G53=0),"",H53/G53)</f>
        <v/>
      </c>
      <c r="J53" s="12"/>
      <c r="Z53" s="11" t="s">
        <v>373</v>
      </c>
    </row>
    <row r="54" customFormat="false" ht="15" hidden="false" customHeight="false" outlineLevel="0" collapsed="false">
      <c r="A54" s="21"/>
      <c r="B54" s="7" t="str">
        <f aca="false">IF(A54="","",INT((A54-DATE(2026,11,2))/7)+1)</f>
        <v/>
      </c>
      <c r="C54" s="17"/>
      <c r="D54" s="17"/>
      <c r="E54" s="17"/>
      <c r="F54" s="17"/>
      <c r="G54" s="17"/>
      <c r="H54" s="17"/>
      <c r="I54" s="18" t="str">
        <f aca="false">IF(OR(G54="",G54=0),"",H54/G54)</f>
        <v/>
      </c>
      <c r="J54" s="12"/>
      <c r="Z54" s="11" t="s">
        <v>375</v>
      </c>
    </row>
    <row r="55" customFormat="false" ht="15" hidden="false" customHeight="false" outlineLevel="0" collapsed="false">
      <c r="A55" s="21"/>
      <c r="B55" s="7" t="str">
        <f aca="false">IF(A55="","",INT((A55-DATE(2026,11,2))/7)+1)</f>
        <v/>
      </c>
      <c r="C55" s="17"/>
      <c r="D55" s="17"/>
      <c r="E55" s="17"/>
      <c r="F55" s="17"/>
      <c r="G55" s="17"/>
      <c r="H55" s="17"/>
      <c r="I55" s="18" t="str">
        <f aca="false">IF(OR(G55="",G55=0),"",H55/G55)</f>
        <v/>
      </c>
      <c r="J55" s="12"/>
      <c r="Z55" s="11" t="s">
        <v>377</v>
      </c>
    </row>
    <row r="56" customFormat="false" ht="15" hidden="false" customHeight="false" outlineLevel="0" collapsed="false">
      <c r="A56" s="21"/>
      <c r="B56" s="7" t="str">
        <f aca="false">IF(A56="","",INT((A56-DATE(2026,11,2))/7)+1)</f>
        <v/>
      </c>
      <c r="C56" s="17"/>
      <c r="D56" s="17"/>
      <c r="E56" s="17"/>
      <c r="F56" s="17"/>
      <c r="G56" s="17"/>
      <c r="H56" s="17"/>
      <c r="I56" s="18" t="str">
        <f aca="false">IF(OR(G56="",G56=0),"",H56/G56)</f>
        <v/>
      </c>
      <c r="J56" s="12"/>
      <c r="Z56" s="11" t="s">
        <v>379</v>
      </c>
    </row>
    <row r="57" customFormat="false" ht="15" hidden="false" customHeight="false" outlineLevel="0" collapsed="false">
      <c r="A57" s="21"/>
      <c r="B57" s="7" t="str">
        <f aca="false">IF(A57="","",INT((A57-DATE(2026,11,2))/7)+1)</f>
        <v/>
      </c>
      <c r="C57" s="17"/>
      <c r="D57" s="17"/>
      <c r="E57" s="17"/>
      <c r="F57" s="17"/>
      <c r="G57" s="17"/>
      <c r="H57" s="17"/>
      <c r="I57" s="18" t="str">
        <f aca="false">IF(OR(G57="",G57=0),"",H57/G57)</f>
        <v/>
      </c>
      <c r="J57" s="12"/>
      <c r="Z57" s="11" t="s">
        <v>392</v>
      </c>
    </row>
    <row r="58" customFormat="false" ht="15" hidden="false" customHeight="false" outlineLevel="0" collapsed="false">
      <c r="A58" s="21"/>
      <c r="B58" s="7" t="str">
        <f aca="false">IF(A58="","",INT((A58-DATE(2026,11,2))/7)+1)</f>
        <v/>
      </c>
      <c r="C58" s="17"/>
      <c r="D58" s="17"/>
      <c r="E58" s="17"/>
      <c r="F58" s="17"/>
      <c r="G58" s="17"/>
      <c r="H58" s="17"/>
      <c r="I58" s="18" t="str">
        <f aca="false">IF(OR(G58="",G58=0),"",H58/G58)</f>
        <v/>
      </c>
      <c r="J58" s="12"/>
    </row>
    <row r="59" customFormat="false" ht="15" hidden="false" customHeight="false" outlineLevel="0" collapsed="false">
      <c r="A59" s="21"/>
      <c r="B59" s="7" t="str">
        <f aca="false">IF(A59="","",INT((A59-DATE(2026,11,2))/7)+1)</f>
        <v/>
      </c>
      <c r="C59" s="17"/>
      <c r="D59" s="17"/>
      <c r="E59" s="17"/>
      <c r="F59" s="17"/>
      <c r="G59" s="17"/>
      <c r="H59" s="17"/>
      <c r="I59" s="18" t="str">
        <f aca="false">IF(OR(G59="",G59=0),"",H59/G59)</f>
        <v/>
      </c>
      <c r="J59" s="12"/>
    </row>
    <row r="60" customFormat="false" ht="15" hidden="false" customHeight="false" outlineLevel="0" collapsed="false">
      <c r="A60" s="21"/>
      <c r="B60" s="7" t="str">
        <f aca="false">IF(A60="","",INT((A60-DATE(2026,11,2))/7)+1)</f>
        <v/>
      </c>
      <c r="C60" s="17"/>
      <c r="D60" s="17"/>
      <c r="E60" s="17"/>
      <c r="F60" s="17"/>
      <c r="G60" s="17"/>
      <c r="H60" s="17"/>
      <c r="I60" s="18" t="str">
        <f aca="false">IF(OR(G60="",G60=0),"",H60/G60)</f>
        <v/>
      </c>
      <c r="J60" s="12"/>
    </row>
    <row r="61" customFormat="false" ht="15" hidden="false" customHeight="false" outlineLevel="0" collapsed="false">
      <c r="A61" s="21"/>
      <c r="B61" s="7" t="str">
        <f aca="false">IF(A61="","",INT((A61-DATE(2026,11,2))/7)+1)</f>
        <v/>
      </c>
      <c r="C61" s="17"/>
      <c r="D61" s="17"/>
      <c r="E61" s="17"/>
      <c r="F61" s="17"/>
      <c r="G61" s="17"/>
      <c r="H61" s="17"/>
      <c r="I61" s="18" t="str">
        <f aca="false">IF(OR(G61="",G61=0),"",H61/G61)</f>
        <v/>
      </c>
      <c r="J61" s="12"/>
    </row>
    <row r="62" customFormat="false" ht="15" hidden="false" customHeight="false" outlineLevel="0" collapsed="false">
      <c r="A62" s="21"/>
      <c r="B62" s="7" t="str">
        <f aca="false">IF(A62="","",INT((A62-DATE(2026,11,2))/7)+1)</f>
        <v/>
      </c>
      <c r="C62" s="17"/>
      <c r="D62" s="17"/>
      <c r="E62" s="17"/>
      <c r="F62" s="17"/>
      <c r="G62" s="17"/>
      <c r="H62" s="17"/>
      <c r="I62" s="18" t="str">
        <f aca="false">IF(OR(G62="",G62=0),"",H62/G62)</f>
        <v/>
      </c>
      <c r="J62" s="12"/>
    </row>
    <row r="63" customFormat="false" ht="15" hidden="false" customHeight="false" outlineLevel="0" collapsed="false">
      <c r="A63" s="21"/>
      <c r="B63" s="7" t="str">
        <f aca="false">IF(A63="","",INT((A63-DATE(2026,11,2))/7)+1)</f>
        <v/>
      </c>
      <c r="C63" s="17"/>
      <c r="D63" s="17"/>
      <c r="E63" s="17"/>
      <c r="F63" s="17"/>
      <c r="G63" s="17"/>
      <c r="H63" s="17"/>
      <c r="I63" s="18" t="str">
        <f aca="false">IF(OR(G63="",G63=0),"",H63/G63)</f>
        <v/>
      </c>
      <c r="J63" s="12"/>
    </row>
    <row r="64" customFormat="false" ht="15" hidden="false" customHeight="false" outlineLevel="0" collapsed="false">
      <c r="A64" s="21"/>
      <c r="B64" s="7" t="str">
        <f aca="false">IF(A64="","",INT((A64-DATE(2026,11,2))/7)+1)</f>
        <v/>
      </c>
      <c r="C64" s="17"/>
      <c r="D64" s="17"/>
      <c r="E64" s="17"/>
      <c r="F64" s="17"/>
      <c r="G64" s="17"/>
      <c r="H64" s="17"/>
      <c r="I64" s="18" t="str">
        <f aca="false">IF(OR(G64="",G64=0),"",H64/G64)</f>
        <v/>
      </c>
      <c r="J64" s="12"/>
    </row>
    <row r="65" customFormat="false" ht="15" hidden="false" customHeight="false" outlineLevel="0" collapsed="false">
      <c r="A65" s="21"/>
      <c r="B65" s="7" t="str">
        <f aca="false">IF(A65="","",INT((A65-DATE(2026,11,2))/7)+1)</f>
        <v/>
      </c>
      <c r="C65" s="17"/>
      <c r="D65" s="17"/>
      <c r="E65" s="17"/>
      <c r="F65" s="17"/>
      <c r="G65" s="17"/>
      <c r="H65" s="17"/>
      <c r="I65" s="18" t="str">
        <f aca="false">IF(OR(G65="",G65=0),"",H65/G65)</f>
        <v/>
      </c>
      <c r="J65" s="12"/>
    </row>
    <row r="66" customFormat="false" ht="15" hidden="false" customHeight="false" outlineLevel="0" collapsed="false">
      <c r="A66" s="21"/>
      <c r="B66" s="7" t="str">
        <f aca="false">IF(A66="","",INT((A66-DATE(2026,11,2))/7)+1)</f>
        <v/>
      </c>
      <c r="C66" s="17"/>
      <c r="D66" s="17"/>
      <c r="E66" s="17"/>
      <c r="F66" s="17"/>
      <c r="G66" s="17"/>
      <c r="H66" s="17"/>
      <c r="I66" s="18" t="str">
        <f aca="false">IF(OR(G66="",G66=0),"",H66/G66)</f>
        <v/>
      </c>
      <c r="J66" s="12"/>
    </row>
    <row r="67" customFormat="false" ht="15" hidden="false" customHeight="false" outlineLevel="0" collapsed="false">
      <c r="A67" s="21"/>
      <c r="B67" s="7" t="str">
        <f aca="false">IF(A67="","",INT((A67-DATE(2026,11,2))/7)+1)</f>
        <v/>
      </c>
      <c r="C67" s="17"/>
      <c r="D67" s="17"/>
      <c r="E67" s="17"/>
      <c r="F67" s="17"/>
      <c r="G67" s="17"/>
      <c r="H67" s="17"/>
      <c r="I67" s="18" t="str">
        <f aca="false">IF(OR(G67="",G67=0),"",H67/G67)</f>
        <v/>
      </c>
      <c r="J67" s="12"/>
    </row>
    <row r="68" customFormat="false" ht="15" hidden="false" customHeight="false" outlineLevel="0" collapsed="false">
      <c r="A68" s="21"/>
      <c r="B68" s="7" t="str">
        <f aca="false">IF(A68="","",INT((A68-DATE(2026,11,2))/7)+1)</f>
        <v/>
      </c>
      <c r="C68" s="17"/>
      <c r="D68" s="17"/>
      <c r="E68" s="17"/>
      <c r="F68" s="17"/>
      <c r="G68" s="17"/>
      <c r="H68" s="17"/>
      <c r="I68" s="18" t="str">
        <f aca="false">IF(OR(G68="",G68=0),"",H68/G68)</f>
        <v/>
      </c>
      <c r="J68" s="12"/>
    </row>
    <row r="69" customFormat="false" ht="15" hidden="false" customHeight="false" outlineLevel="0" collapsed="false">
      <c r="A69" s="21"/>
      <c r="B69" s="7" t="str">
        <f aca="false">IF(A69="","",INT((A69-DATE(2026,11,2))/7)+1)</f>
        <v/>
      </c>
      <c r="C69" s="17"/>
      <c r="D69" s="17"/>
      <c r="E69" s="17"/>
      <c r="F69" s="17"/>
      <c r="G69" s="17"/>
      <c r="H69" s="17"/>
      <c r="I69" s="18" t="str">
        <f aca="false">IF(OR(G69="",G69=0),"",H69/G69)</f>
        <v/>
      </c>
      <c r="J69" s="12"/>
    </row>
    <row r="70" customFormat="false" ht="15" hidden="false" customHeight="false" outlineLevel="0" collapsed="false">
      <c r="A70" s="21"/>
      <c r="B70" s="7" t="str">
        <f aca="false">IF(A70="","",INT((A70-DATE(2026,11,2))/7)+1)</f>
        <v/>
      </c>
      <c r="C70" s="17"/>
      <c r="D70" s="17"/>
      <c r="E70" s="17"/>
      <c r="F70" s="17"/>
      <c r="G70" s="17"/>
      <c r="H70" s="17"/>
      <c r="I70" s="18" t="str">
        <f aca="false">IF(OR(G70="",G70=0),"",H70/G70)</f>
        <v/>
      </c>
      <c r="J70" s="12"/>
    </row>
    <row r="71" customFormat="false" ht="15" hidden="false" customHeight="false" outlineLevel="0" collapsed="false">
      <c r="A71" s="21"/>
      <c r="B71" s="7" t="str">
        <f aca="false">IF(A71="","",INT((A71-DATE(2026,11,2))/7)+1)</f>
        <v/>
      </c>
      <c r="C71" s="17"/>
      <c r="D71" s="17"/>
      <c r="E71" s="17"/>
      <c r="F71" s="17"/>
      <c r="G71" s="17"/>
      <c r="H71" s="17"/>
      <c r="I71" s="18" t="str">
        <f aca="false">IF(OR(G71="",G71=0),"",H71/G71)</f>
        <v/>
      </c>
      <c r="J71" s="12"/>
    </row>
    <row r="72" customFormat="false" ht="15" hidden="false" customHeight="false" outlineLevel="0" collapsed="false">
      <c r="A72" s="21"/>
      <c r="B72" s="7" t="str">
        <f aca="false">IF(A72="","",INT((A72-DATE(2026,11,2))/7)+1)</f>
        <v/>
      </c>
      <c r="C72" s="17"/>
      <c r="D72" s="17"/>
      <c r="E72" s="17"/>
      <c r="F72" s="17"/>
      <c r="G72" s="17"/>
      <c r="H72" s="17"/>
      <c r="I72" s="18" t="str">
        <f aca="false">IF(OR(G72="",G72=0),"",H72/G72)</f>
        <v/>
      </c>
      <c r="J72" s="12"/>
    </row>
    <row r="73" customFormat="false" ht="15" hidden="false" customHeight="false" outlineLevel="0" collapsed="false">
      <c r="A73" s="21"/>
      <c r="B73" s="7" t="str">
        <f aca="false">IF(A73="","",INT((A73-DATE(2026,11,2))/7)+1)</f>
        <v/>
      </c>
      <c r="C73" s="17"/>
      <c r="D73" s="17"/>
      <c r="E73" s="17"/>
      <c r="F73" s="17"/>
      <c r="G73" s="17"/>
      <c r="H73" s="17"/>
      <c r="I73" s="18" t="str">
        <f aca="false">IF(OR(G73="",G73=0),"",H73/G73)</f>
        <v/>
      </c>
      <c r="J73" s="12"/>
    </row>
    <row r="74" customFormat="false" ht="15" hidden="false" customHeight="false" outlineLevel="0" collapsed="false">
      <c r="A74" s="21"/>
      <c r="B74" s="7" t="str">
        <f aca="false">IF(A74="","",INT((A74-DATE(2026,11,2))/7)+1)</f>
        <v/>
      </c>
      <c r="C74" s="17"/>
      <c r="D74" s="17"/>
      <c r="E74" s="17"/>
      <c r="F74" s="17"/>
      <c r="G74" s="17"/>
      <c r="H74" s="17"/>
      <c r="I74" s="18" t="str">
        <f aca="false">IF(OR(G74="",G74=0),"",H74/G74)</f>
        <v/>
      </c>
      <c r="J74" s="12"/>
    </row>
    <row r="75" customFormat="false" ht="15" hidden="false" customHeight="false" outlineLevel="0" collapsed="false">
      <c r="A75" s="21"/>
      <c r="B75" s="7" t="str">
        <f aca="false">IF(A75="","",INT((A75-DATE(2026,11,2))/7)+1)</f>
        <v/>
      </c>
      <c r="C75" s="17"/>
      <c r="D75" s="17"/>
      <c r="E75" s="17"/>
      <c r="F75" s="17"/>
      <c r="G75" s="17"/>
      <c r="H75" s="17"/>
      <c r="I75" s="18" t="str">
        <f aca="false">IF(OR(G75="",G75=0),"",H75/G75)</f>
        <v/>
      </c>
      <c r="J75" s="12"/>
    </row>
    <row r="76" customFormat="false" ht="15" hidden="false" customHeight="false" outlineLevel="0" collapsed="false">
      <c r="A76" s="21"/>
      <c r="B76" s="7" t="str">
        <f aca="false">IF(A76="","",INT((A76-DATE(2026,11,2))/7)+1)</f>
        <v/>
      </c>
      <c r="C76" s="17"/>
      <c r="D76" s="17"/>
      <c r="E76" s="17"/>
      <c r="F76" s="17"/>
      <c r="G76" s="17"/>
      <c r="H76" s="17"/>
      <c r="I76" s="18" t="str">
        <f aca="false">IF(OR(G76="",G76=0),"",H76/G76)</f>
        <v/>
      </c>
      <c r="J76" s="12"/>
    </row>
    <row r="77" customFormat="false" ht="15" hidden="false" customHeight="false" outlineLevel="0" collapsed="false">
      <c r="A77" s="21"/>
      <c r="B77" s="7" t="str">
        <f aca="false">IF(A77="","",INT((A77-DATE(2026,11,2))/7)+1)</f>
        <v/>
      </c>
      <c r="C77" s="17"/>
      <c r="D77" s="17"/>
      <c r="E77" s="17"/>
      <c r="F77" s="17"/>
      <c r="G77" s="17"/>
      <c r="H77" s="17"/>
      <c r="I77" s="18" t="str">
        <f aca="false">IF(OR(G77="",G77=0),"",H77/G77)</f>
        <v/>
      </c>
      <c r="J77" s="12"/>
    </row>
    <row r="78" customFormat="false" ht="15" hidden="false" customHeight="false" outlineLevel="0" collapsed="false">
      <c r="A78" s="21"/>
      <c r="B78" s="7" t="str">
        <f aca="false">IF(A78="","",INT((A78-DATE(2026,11,2))/7)+1)</f>
        <v/>
      </c>
      <c r="C78" s="17"/>
      <c r="D78" s="17"/>
      <c r="E78" s="17"/>
      <c r="F78" s="17"/>
      <c r="G78" s="17"/>
      <c r="H78" s="17"/>
      <c r="I78" s="18" t="str">
        <f aca="false">IF(OR(G78="",G78=0),"",H78/G78)</f>
        <v/>
      </c>
      <c r="J78" s="12"/>
    </row>
    <row r="79" customFormat="false" ht="15" hidden="false" customHeight="false" outlineLevel="0" collapsed="false">
      <c r="A79" s="21"/>
      <c r="B79" s="7" t="str">
        <f aca="false">IF(A79="","",INT((A79-DATE(2026,11,2))/7)+1)</f>
        <v/>
      </c>
      <c r="C79" s="17"/>
      <c r="D79" s="17"/>
      <c r="E79" s="17"/>
      <c r="F79" s="17"/>
      <c r="G79" s="17"/>
      <c r="H79" s="17"/>
      <c r="I79" s="18" t="str">
        <f aca="false">IF(OR(G79="",G79=0),"",H79/G79)</f>
        <v/>
      </c>
      <c r="J79" s="12"/>
    </row>
    <row r="80" customFormat="false" ht="15" hidden="false" customHeight="false" outlineLevel="0" collapsed="false">
      <c r="A80" s="21"/>
      <c r="B80" s="7" t="str">
        <f aca="false">IF(A80="","",INT((A80-DATE(2026,11,2))/7)+1)</f>
        <v/>
      </c>
      <c r="C80" s="17"/>
      <c r="D80" s="17"/>
      <c r="E80" s="17"/>
      <c r="F80" s="17"/>
      <c r="G80" s="17"/>
      <c r="H80" s="17"/>
      <c r="I80" s="18" t="str">
        <f aca="false">IF(OR(G80="",G80=0),"",H80/G80)</f>
        <v/>
      </c>
      <c r="J80" s="12"/>
    </row>
    <row r="81" customFormat="false" ht="15" hidden="false" customHeight="false" outlineLevel="0" collapsed="false">
      <c r="A81" s="21"/>
      <c r="B81" s="7" t="str">
        <f aca="false">IF(A81="","",INT((A81-DATE(2026,11,2))/7)+1)</f>
        <v/>
      </c>
      <c r="C81" s="17"/>
      <c r="D81" s="17"/>
      <c r="E81" s="17"/>
      <c r="F81" s="17"/>
      <c r="G81" s="17"/>
      <c r="H81" s="17"/>
      <c r="I81" s="18" t="str">
        <f aca="false">IF(OR(G81="",G81=0),"",H81/G81)</f>
        <v/>
      </c>
      <c r="J81" s="12"/>
    </row>
    <row r="82" customFormat="false" ht="15" hidden="false" customHeight="false" outlineLevel="0" collapsed="false">
      <c r="A82" s="21"/>
      <c r="B82" s="7" t="str">
        <f aca="false">IF(A82="","",INT((A82-DATE(2026,11,2))/7)+1)</f>
        <v/>
      </c>
      <c r="C82" s="17"/>
      <c r="D82" s="17"/>
      <c r="E82" s="17"/>
      <c r="F82" s="17"/>
      <c r="G82" s="17"/>
      <c r="H82" s="17"/>
      <c r="I82" s="18" t="str">
        <f aca="false">IF(OR(G82="",G82=0),"",H82/G82)</f>
        <v/>
      </c>
      <c r="J82" s="12"/>
    </row>
    <row r="83" customFormat="false" ht="15" hidden="false" customHeight="false" outlineLevel="0" collapsed="false">
      <c r="A83" s="21"/>
      <c r="B83" s="7" t="str">
        <f aca="false">IF(A83="","",INT((A83-DATE(2026,11,2))/7)+1)</f>
        <v/>
      </c>
      <c r="C83" s="17"/>
      <c r="D83" s="17"/>
      <c r="E83" s="17"/>
      <c r="F83" s="17"/>
      <c r="G83" s="17"/>
      <c r="H83" s="17"/>
      <c r="I83" s="18" t="str">
        <f aca="false">IF(OR(G83="",G83=0),"",H83/G83)</f>
        <v/>
      </c>
      <c r="J83" s="12"/>
    </row>
    <row r="84" customFormat="false" ht="15" hidden="false" customHeight="false" outlineLevel="0" collapsed="false">
      <c r="A84" s="21"/>
      <c r="B84" s="7" t="str">
        <f aca="false">IF(A84="","",INT((A84-DATE(2026,11,2))/7)+1)</f>
        <v/>
      </c>
      <c r="C84" s="17"/>
      <c r="D84" s="17"/>
      <c r="E84" s="17"/>
      <c r="F84" s="17"/>
      <c r="G84" s="17"/>
      <c r="H84" s="17"/>
      <c r="I84" s="18" t="str">
        <f aca="false">IF(OR(G84="",G84=0),"",H84/G84)</f>
        <v/>
      </c>
      <c r="J84" s="12"/>
    </row>
    <row r="85" customFormat="false" ht="15" hidden="false" customHeight="false" outlineLevel="0" collapsed="false">
      <c r="A85" s="21"/>
      <c r="B85" s="7" t="str">
        <f aca="false">IF(A85="","",INT((A85-DATE(2026,11,2))/7)+1)</f>
        <v/>
      </c>
      <c r="C85" s="17"/>
      <c r="D85" s="17"/>
      <c r="E85" s="17"/>
      <c r="F85" s="17"/>
      <c r="G85" s="17"/>
      <c r="H85" s="17"/>
      <c r="I85" s="18" t="str">
        <f aca="false">IF(OR(G85="",G85=0),"",H85/G85)</f>
        <v/>
      </c>
      <c r="J85" s="12"/>
    </row>
    <row r="86" customFormat="false" ht="15" hidden="false" customHeight="false" outlineLevel="0" collapsed="false">
      <c r="A86" s="21"/>
      <c r="B86" s="7" t="str">
        <f aca="false">IF(A86="","",INT((A86-DATE(2026,11,2))/7)+1)</f>
        <v/>
      </c>
      <c r="C86" s="17"/>
      <c r="D86" s="17"/>
      <c r="E86" s="17"/>
      <c r="F86" s="17"/>
      <c r="G86" s="17"/>
      <c r="H86" s="17"/>
      <c r="I86" s="18" t="str">
        <f aca="false">IF(OR(G86="",G86=0),"",H86/G86)</f>
        <v/>
      </c>
      <c r="J86" s="12"/>
    </row>
    <row r="87" customFormat="false" ht="15" hidden="false" customHeight="false" outlineLevel="0" collapsed="false">
      <c r="A87" s="21"/>
      <c r="B87" s="7" t="str">
        <f aca="false">IF(A87="","",INT((A87-DATE(2026,11,2))/7)+1)</f>
        <v/>
      </c>
      <c r="C87" s="17"/>
      <c r="D87" s="17"/>
      <c r="E87" s="17"/>
      <c r="F87" s="17"/>
      <c r="G87" s="17"/>
      <c r="H87" s="17"/>
      <c r="I87" s="18" t="str">
        <f aca="false">IF(OR(G87="",G87=0),"",H87/G87)</f>
        <v/>
      </c>
      <c r="J87" s="12"/>
    </row>
    <row r="88" customFormat="false" ht="15" hidden="false" customHeight="false" outlineLevel="0" collapsed="false">
      <c r="A88" s="21"/>
      <c r="B88" s="7" t="str">
        <f aca="false">IF(A88="","",INT((A88-DATE(2026,11,2))/7)+1)</f>
        <v/>
      </c>
      <c r="C88" s="17"/>
      <c r="D88" s="17"/>
      <c r="E88" s="17"/>
      <c r="F88" s="17"/>
      <c r="G88" s="17"/>
      <c r="H88" s="17"/>
      <c r="I88" s="18" t="str">
        <f aca="false">IF(OR(G88="",G88=0),"",H88/G88)</f>
        <v/>
      </c>
      <c r="J88" s="12"/>
    </row>
    <row r="89" customFormat="false" ht="15" hidden="false" customHeight="false" outlineLevel="0" collapsed="false">
      <c r="A89" s="21"/>
      <c r="B89" s="7" t="str">
        <f aca="false">IF(A89="","",INT((A89-DATE(2026,11,2))/7)+1)</f>
        <v/>
      </c>
      <c r="C89" s="17"/>
      <c r="D89" s="17"/>
      <c r="E89" s="17"/>
      <c r="F89" s="17"/>
      <c r="G89" s="17"/>
      <c r="H89" s="17"/>
      <c r="I89" s="18" t="str">
        <f aca="false">IF(OR(G89="",G89=0),"",H89/G89)</f>
        <v/>
      </c>
      <c r="J89" s="12"/>
    </row>
    <row r="90" customFormat="false" ht="15" hidden="false" customHeight="false" outlineLevel="0" collapsed="false">
      <c r="A90" s="21"/>
      <c r="B90" s="7" t="str">
        <f aca="false">IF(A90="","",INT((A90-DATE(2026,11,2))/7)+1)</f>
        <v/>
      </c>
      <c r="C90" s="17"/>
      <c r="D90" s="17"/>
      <c r="E90" s="17"/>
      <c r="F90" s="17"/>
      <c r="G90" s="17"/>
      <c r="H90" s="17"/>
      <c r="I90" s="18" t="str">
        <f aca="false">IF(OR(G90="",G90=0),"",H90/G90)</f>
        <v/>
      </c>
      <c r="J90" s="12"/>
    </row>
    <row r="91" customFormat="false" ht="15" hidden="false" customHeight="false" outlineLevel="0" collapsed="false">
      <c r="A91" s="21"/>
      <c r="B91" s="7" t="str">
        <f aca="false">IF(A91="","",INT((A91-DATE(2026,11,2))/7)+1)</f>
        <v/>
      </c>
      <c r="C91" s="17"/>
      <c r="D91" s="17"/>
      <c r="E91" s="17"/>
      <c r="F91" s="17"/>
      <c r="G91" s="17"/>
      <c r="H91" s="17"/>
      <c r="I91" s="18" t="str">
        <f aca="false">IF(OR(G91="",G91=0),"",H91/G91)</f>
        <v/>
      </c>
      <c r="J91" s="12"/>
    </row>
    <row r="92" customFormat="false" ht="15" hidden="false" customHeight="false" outlineLevel="0" collapsed="false">
      <c r="A92" s="21"/>
      <c r="B92" s="7" t="str">
        <f aca="false">IF(A92="","",INT((A92-DATE(2026,11,2))/7)+1)</f>
        <v/>
      </c>
      <c r="C92" s="17"/>
      <c r="D92" s="17"/>
      <c r="E92" s="17"/>
      <c r="F92" s="17"/>
      <c r="G92" s="17"/>
      <c r="H92" s="17"/>
      <c r="I92" s="18" t="str">
        <f aca="false">IF(OR(G92="",G92=0),"",H92/G92)</f>
        <v/>
      </c>
      <c r="J92" s="12"/>
    </row>
    <row r="93" customFormat="false" ht="15" hidden="false" customHeight="false" outlineLevel="0" collapsed="false">
      <c r="A93" s="21"/>
      <c r="B93" s="7" t="str">
        <f aca="false">IF(A93="","",INT((A93-DATE(2026,11,2))/7)+1)</f>
        <v/>
      </c>
      <c r="C93" s="17"/>
      <c r="D93" s="17"/>
      <c r="E93" s="17"/>
      <c r="F93" s="17"/>
      <c r="G93" s="17"/>
      <c r="H93" s="17"/>
      <c r="I93" s="18" t="str">
        <f aca="false">IF(OR(G93="",G93=0),"",H93/G93)</f>
        <v/>
      </c>
      <c r="J93" s="12"/>
    </row>
    <row r="94" customFormat="false" ht="15" hidden="false" customHeight="false" outlineLevel="0" collapsed="false">
      <c r="A94" s="21"/>
      <c r="B94" s="7" t="str">
        <f aca="false">IF(A94="","",INT((A94-DATE(2026,11,2))/7)+1)</f>
        <v/>
      </c>
      <c r="C94" s="17"/>
      <c r="D94" s="17"/>
      <c r="E94" s="17"/>
      <c r="F94" s="17"/>
      <c r="G94" s="17"/>
      <c r="H94" s="17"/>
      <c r="I94" s="18" t="str">
        <f aca="false">IF(OR(G94="",G94=0),"",H94/G94)</f>
        <v/>
      </c>
      <c r="J94" s="12"/>
    </row>
    <row r="95" customFormat="false" ht="15" hidden="false" customHeight="false" outlineLevel="0" collapsed="false">
      <c r="A95" s="21"/>
      <c r="B95" s="7" t="str">
        <f aca="false">IF(A95="","",INT((A95-DATE(2026,11,2))/7)+1)</f>
        <v/>
      </c>
      <c r="C95" s="17"/>
      <c r="D95" s="17"/>
      <c r="E95" s="17"/>
      <c r="F95" s="17"/>
      <c r="G95" s="17"/>
      <c r="H95" s="17"/>
      <c r="I95" s="18" t="str">
        <f aca="false">IF(OR(G95="",G95=0),"",H95/G95)</f>
        <v/>
      </c>
      <c r="J95" s="12"/>
    </row>
    <row r="96" customFormat="false" ht="15" hidden="false" customHeight="false" outlineLevel="0" collapsed="false">
      <c r="A96" s="21"/>
      <c r="B96" s="7" t="str">
        <f aca="false">IF(A96="","",INT((A96-DATE(2026,11,2))/7)+1)</f>
        <v/>
      </c>
      <c r="C96" s="17"/>
      <c r="D96" s="17"/>
      <c r="E96" s="17"/>
      <c r="F96" s="17"/>
      <c r="G96" s="17"/>
      <c r="H96" s="17"/>
      <c r="I96" s="18" t="str">
        <f aca="false">IF(OR(G96="",G96=0),"",H96/G96)</f>
        <v/>
      </c>
      <c r="J96" s="12"/>
    </row>
    <row r="97" customFormat="false" ht="15" hidden="false" customHeight="false" outlineLevel="0" collapsed="false">
      <c r="A97" s="21"/>
      <c r="B97" s="7" t="str">
        <f aca="false">IF(A97="","",INT((A97-DATE(2026,11,2))/7)+1)</f>
        <v/>
      </c>
      <c r="C97" s="17"/>
      <c r="D97" s="17"/>
      <c r="E97" s="17"/>
      <c r="F97" s="17"/>
      <c r="G97" s="17"/>
      <c r="H97" s="17"/>
      <c r="I97" s="18" t="str">
        <f aca="false">IF(OR(G97="",G97=0),"",H97/G97)</f>
        <v/>
      </c>
      <c r="J97" s="12"/>
    </row>
    <row r="98" customFormat="false" ht="15" hidden="false" customHeight="false" outlineLevel="0" collapsed="false">
      <c r="A98" s="21"/>
      <c r="B98" s="7" t="str">
        <f aca="false">IF(A98="","",INT((A98-DATE(2026,11,2))/7)+1)</f>
        <v/>
      </c>
      <c r="C98" s="17"/>
      <c r="D98" s="17"/>
      <c r="E98" s="17"/>
      <c r="F98" s="17"/>
      <c r="G98" s="17"/>
      <c r="H98" s="17"/>
      <c r="I98" s="18" t="str">
        <f aca="false">IF(OR(G98="",G98=0),"",H98/G98)</f>
        <v/>
      </c>
      <c r="J98" s="12"/>
    </row>
    <row r="99" customFormat="false" ht="15" hidden="false" customHeight="false" outlineLevel="0" collapsed="false">
      <c r="A99" s="21"/>
      <c r="B99" s="7" t="str">
        <f aca="false">IF(A99="","",INT((A99-DATE(2026,11,2))/7)+1)</f>
        <v/>
      </c>
      <c r="C99" s="17"/>
      <c r="D99" s="17"/>
      <c r="E99" s="17"/>
      <c r="F99" s="17"/>
      <c r="G99" s="17"/>
      <c r="H99" s="17"/>
      <c r="I99" s="18" t="str">
        <f aca="false">IF(OR(G99="",G99=0),"",H99/G99)</f>
        <v/>
      </c>
      <c r="J99" s="12"/>
    </row>
    <row r="100" customFormat="false" ht="15" hidden="false" customHeight="false" outlineLevel="0" collapsed="false">
      <c r="A100" s="21"/>
      <c r="B100" s="7" t="str">
        <f aca="false">IF(A100="","",INT((A100-DATE(2026,11,2))/7)+1)</f>
        <v/>
      </c>
      <c r="C100" s="17"/>
      <c r="D100" s="17"/>
      <c r="E100" s="17"/>
      <c r="F100" s="17"/>
      <c r="G100" s="17"/>
      <c r="H100" s="17"/>
      <c r="I100" s="18" t="str">
        <f aca="false">IF(OR(G100="",G100=0),"",H100/G100)</f>
        <v/>
      </c>
      <c r="J100" s="12"/>
    </row>
    <row r="101" customFormat="false" ht="15" hidden="false" customHeight="false" outlineLevel="0" collapsed="false">
      <c r="A101" s="21"/>
      <c r="B101" s="7" t="str">
        <f aca="false">IF(A101="","",INT((A101-DATE(2026,11,2))/7)+1)</f>
        <v/>
      </c>
      <c r="C101" s="17"/>
      <c r="D101" s="17"/>
      <c r="E101" s="17"/>
      <c r="F101" s="17"/>
      <c r="G101" s="17"/>
      <c r="H101" s="17"/>
      <c r="I101" s="18" t="str">
        <f aca="false">IF(OR(G101="",G101=0),"",H101/G101)</f>
        <v/>
      </c>
      <c r="J101" s="12"/>
    </row>
    <row r="102" customFormat="false" ht="15" hidden="false" customHeight="false" outlineLevel="0" collapsed="false">
      <c r="A102" s="21"/>
      <c r="B102" s="7" t="str">
        <f aca="false">IF(A102="","",INT((A102-DATE(2026,11,2))/7)+1)</f>
        <v/>
      </c>
      <c r="C102" s="17"/>
      <c r="D102" s="17"/>
      <c r="E102" s="17"/>
      <c r="F102" s="17"/>
      <c r="G102" s="17"/>
      <c r="H102" s="17"/>
      <c r="I102" s="18" t="str">
        <f aca="false">IF(OR(G102="",G102=0),"",H102/G102)</f>
        <v/>
      </c>
      <c r="J102" s="12"/>
    </row>
    <row r="103" customFormat="false" ht="15" hidden="false" customHeight="false" outlineLevel="0" collapsed="false">
      <c r="A103" s="21"/>
      <c r="B103" s="7" t="str">
        <f aca="false">IF(A103="","",INT((A103-DATE(2026,11,2))/7)+1)</f>
        <v/>
      </c>
      <c r="C103" s="17"/>
      <c r="D103" s="17"/>
      <c r="E103" s="17"/>
      <c r="F103" s="17"/>
      <c r="G103" s="17"/>
      <c r="H103" s="17"/>
      <c r="I103" s="18" t="str">
        <f aca="false">IF(OR(G103="",G103=0),"",H103/G103)</f>
        <v/>
      </c>
      <c r="J103" s="12"/>
    </row>
    <row r="104" customFormat="false" ht="15" hidden="false" customHeight="false" outlineLevel="0" collapsed="false">
      <c r="A104" s="21"/>
      <c r="B104" s="7" t="str">
        <f aca="false">IF(A104="","",INT((A104-DATE(2026,11,2))/7)+1)</f>
        <v/>
      </c>
      <c r="C104" s="17"/>
      <c r="D104" s="17"/>
      <c r="E104" s="17"/>
      <c r="F104" s="17"/>
      <c r="G104" s="17"/>
      <c r="H104" s="17"/>
      <c r="I104" s="18" t="str">
        <f aca="false">IF(OR(G104="",G104=0),"",H104/G104)</f>
        <v/>
      </c>
      <c r="J104" s="12"/>
    </row>
    <row r="105" customFormat="false" ht="15" hidden="false" customHeight="false" outlineLevel="0" collapsed="false">
      <c r="A105" s="21"/>
      <c r="B105" s="7" t="str">
        <f aca="false">IF(A105="","",INT((A105-DATE(2026,11,2))/7)+1)</f>
        <v/>
      </c>
      <c r="C105" s="17"/>
      <c r="D105" s="17"/>
      <c r="E105" s="17"/>
      <c r="F105" s="17"/>
      <c r="G105" s="17"/>
      <c r="H105" s="17"/>
      <c r="I105" s="18" t="str">
        <f aca="false">IF(OR(G105="",G105=0),"",H105/G105)</f>
        <v/>
      </c>
      <c r="J105" s="12"/>
    </row>
    <row r="106" customFormat="false" ht="15" hidden="false" customHeight="false" outlineLevel="0" collapsed="false">
      <c r="A106" s="21"/>
      <c r="B106" s="7" t="str">
        <f aca="false">IF(A106="","",INT((A106-DATE(2026,11,2))/7)+1)</f>
        <v/>
      </c>
      <c r="C106" s="17"/>
      <c r="D106" s="17"/>
      <c r="E106" s="17"/>
      <c r="F106" s="17"/>
      <c r="G106" s="17"/>
      <c r="H106" s="17"/>
      <c r="I106" s="18" t="str">
        <f aca="false">IF(OR(G106="",G106=0),"",H106/G106)</f>
        <v/>
      </c>
      <c r="J106" s="12"/>
    </row>
    <row r="107" customFormat="false" ht="15" hidden="false" customHeight="false" outlineLevel="0" collapsed="false">
      <c r="A107" s="21"/>
      <c r="B107" s="7" t="str">
        <f aca="false">IF(A107="","",INT((A107-DATE(2026,11,2))/7)+1)</f>
        <v/>
      </c>
      <c r="C107" s="17"/>
      <c r="D107" s="17"/>
      <c r="E107" s="17"/>
      <c r="F107" s="17"/>
      <c r="G107" s="17"/>
      <c r="H107" s="17"/>
      <c r="I107" s="18" t="str">
        <f aca="false">IF(OR(G107="",G107=0),"",H107/G107)</f>
        <v/>
      </c>
      <c r="J107" s="12"/>
    </row>
    <row r="108" customFormat="false" ht="15" hidden="false" customHeight="false" outlineLevel="0" collapsed="false">
      <c r="A108" s="21"/>
      <c r="B108" s="7" t="str">
        <f aca="false">IF(A108="","",INT((A108-DATE(2026,11,2))/7)+1)</f>
        <v/>
      </c>
      <c r="C108" s="17"/>
      <c r="D108" s="17"/>
      <c r="E108" s="17"/>
      <c r="F108" s="17"/>
      <c r="G108" s="17"/>
      <c r="H108" s="17"/>
      <c r="I108" s="18" t="str">
        <f aca="false">IF(OR(G108="",G108=0),"",H108/G108)</f>
        <v/>
      </c>
      <c r="J108" s="12"/>
    </row>
    <row r="109" customFormat="false" ht="15" hidden="false" customHeight="false" outlineLevel="0" collapsed="false">
      <c r="A109" s="21"/>
      <c r="B109" s="7" t="str">
        <f aca="false">IF(A109="","",INT((A109-DATE(2026,11,2))/7)+1)</f>
        <v/>
      </c>
      <c r="C109" s="17"/>
      <c r="D109" s="17"/>
      <c r="E109" s="17"/>
      <c r="F109" s="17"/>
      <c r="G109" s="17"/>
      <c r="H109" s="17"/>
      <c r="I109" s="18" t="str">
        <f aca="false">IF(OR(G109="",G109=0),"",H109/G109)</f>
        <v/>
      </c>
      <c r="J109" s="12"/>
    </row>
    <row r="110" customFormat="false" ht="15" hidden="false" customHeight="false" outlineLevel="0" collapsed="false">
      <c r="A110" s="21"/>
      <c r="B110" s="7" t="str">
        <f aca="false">IF(A110="","",INT((A110-DATE(2026,11,2))/7)+1)</f>
        <v/>
      </c>
      <c r="C110" s="17"/>
      <c r="D110" s="17"/>
      <c r="E110" s="17"/>
      <c r="F110" s="17"/>
      <c r="G110" s="17"/>
      <c r="H110" s="17"/>
      <c r="I110" s="18" t="str">
        <f aca="false">IF(OR(G110="",G110=0),"",H110/G110)</f>
        <v/>
      </c>
      <c r="J110" s="12"/>
    </row>
    <row r="111" customFormat="false" ht="15" hidden="false" customHeight="false" outlineLevel="0" collapsed="false">
      <c r="A111" s="21"/>
      <c r="B111" s="7" t="str">
        <f aca="false">IF(A111="","",INT((A111-DATE(2026,11,2))/7)+1)</f>
        <v/>
      </c>
      <c r="C111" s="17"/>
      <c r="D111" s="17"/>
      <c r="E111" s="17"/>
      <c r="F111" s="17"/>
      <c r="G111" s="17"/>
      <c r="H111" s="17"/>
      <c r="I111" s="18" t="str">
        <f aca="false">IF(OR(G111="",G111=0),"",H111/G111)</f>
        <v/>
      </c>
      <c r="J111" s="12"/>
    </row>
    <row r="112" customFormat="false" ht="15" hidden="false" customHeight="false" outlineLevel="0" collapsed="false">
      <c r="A112" s="21"/>
      <c r="B112" s="7" t="str">
        <f aca="false">IF(A112="","",INT((A112-DATE(2026,11,2))/7)+1)</f>
        <v/>
      </c>
      <c r="C112" s="17"/>
      <c r="D112" s="17"/>
      <c r="E112" s="17"/>
      <c r="F112" s="17"/>
      <c r="G112" s="17"/>
      <c r="H112" s="17"/>
      <c r="I112" s="18" t="str">
        <f aca="false">IF(OR(G112="",G112=0),"",H112/G112)</f>
        <v/>
      </c>
      <c r="J112" s="12"/>
    </row>
    <row r="113" customFormat="false" ht="15" hidden="false" customHeight="false" outlineLevel="0" collapsed="false">
      <c r="A113" s="21"/>
      <c r="B113" s="7" t="str">
        <f aca="false">IF(A113="","",INT((A113-DATE(2026,11,2))/7)+1)</f>
        <v/>
      </c>
      <c r="C113" s="17"/>
      <c r="D113" s="17"/>
      <c r="E113" s="17"/>
      <c r="F113" s="17"/>
      <c r="G113" s="17"/>
      <c r="H113" s="17"/>
      <c r="I113" s="18" t="str">
        <f aca="false">IF(OR(G113="",G113=0),"",H113/G113)</f>
        <v/>
      </c>
      <c r="J113" s="12"/>
    </row>
    <row r="114" customFormat="false" ht="15" hidden="false" customHeight="false" outlineLevel="0" collapsed="false">
      <c r="A114" s="21"/>
      <c r="B114" s="7" t="str">
        <f aca="false">IF(A114="","",INT((A114-DATE(2026,11,2))/7)+1)</f>
        <v/>
      </c>
      <c r="C114" s="17"/>
      <c r="D114" s="17"/>
      <c r="E114" s="17"/>
      <c r="F114" s="17"/>
      <c r="G114" s="17"/>
      <c r="H114" s="17"/>
      <c r="I114" s="18" t="str">
        <f aca="false">IF(OR(G114="",G114=0),"",H114/G114)</f>
        <v/>
      </c>
      <c r="J114" s="12"/>
    </row>
    <row r="115" customFormat="false" ht="15" hidden="false" customHeight="false" outlineLevel="0" collapsed="false">
      <c r="A115" s="21"/>
      <c r="B115" s="7" t="str">
        <f aca="false">IF(A115="","",INT((A115-DATE(2026,11,2))/7)+1)</f>
        <v/>
      </c>
      <c r="C115" s="17"/>
      <c r="D115" s="17"/>
      <c r="E115" s="17"/>
      <c r="F115" s="17"/>
      <c r="G115" s="17"/>
      <c r="H115" s="17"/>
      <c r="I115" s="18" t="str">
        <f aca="false">IF(OR(G115="",G115=0),"",H115/G115)</f>
        <v/>
      </c>
      <c r="J115" s="12"/>
    </row>
    <row r="116" customFormat="false" ht="15" hidden="false" customHeight="false" outlineLevel="0" collapsed="false">
      <c r="A116" s="21"/>
      <c r="B116" s="7" t="str">
        <f aca="false">IF(A116="","",INT((A116-DATE(2026,11,2))/7)+1)</f>
        <v/>
      </c>
      <c r="C116" s="17"/>
      <c r="D116" s="17"/>
      <c r="E116" s="17"/>
      <c r="F116" s="17"/>
      <c r="G116" s="17"/>
      <c r="H116" s="17"/>
      <c r="I116" s="18" t="str">
        <f aca="false">IF(OR(G116="",G116=0),"",H116/G116)</f>
        <v/>
      </c>
      <c r="J116" s="12"/>
    </row>
    <row r="117" customFormat="false" ht="15" hidden="false" customHeight="false" outlineLevel="0" collapsed="false">
      <c r="A117" s="21"/>
      <c r="B117" s="7" t="str">
        <f aca="false">IF(A117="","",INT((A117-DATE(2026,11,2))/7)+1)</f>
        <v/>
      </c>
      <c r="C117" s="17"/>
      <c r="D117" s="17"/>
      <c r="E117" s="17"/>
      <c r="F117" s="17"/>
      <c r="G117" s="17"/>
      <c r="H117" s="17"/>
      <c r="I117" s="18" t="str">
        <f aca="false">IF(OR(G117="",G117=0),"",H117/G117)</f>
        <v/>
      </c>
      <c r="J117" s="12"/>
    </row>
    <row r="118" customFormat="false" ht="15" hidden="false" customHeight="false" outlineLevel="0" collapsed="false">
      <c r="A118" s="21"/>
      <c r="B118" s="7" t="str">
        <f aca="false">IF(A118="","",INT((A118-DATE(2026,11,2))/7)+1)</f>
        <v/>
      </c>
      <c r="C118" s="17"/>
      <c r="D118" s="17"/>
      <c r="E118" s="17"/>
      <c r="F118" s="17"/>
      <c r="G118" s="17"/>
      <c r="H118" s="17"/>
      <c r="I118" s="18" t="str">
        <f aca="false">IF(OR(G118="",G118=0),"",H118/G118)</f>
        <v/>
      </c>
      <c r="J118" s="12"/>
    </row>
    <row r="119" customFormat="false" ht="15" hidden="false" customHeight="false" outlineLevel="0" collapsed="false">
      <c r="A119" s="21"/>
      <c r="B119" s="7" t="str">
        <f aca="false">IF(A119="","",INT((A119-DATE(2026,11,2))/7)+1)</f>
        <v/>
      </c>
      <c r="C119" s="17"/>
      <c r="D119" s="17"/>
      <c r="E119" s="17"/>
      <c r="F119" s="17"/>
      <c r="G119" s="17"/>
      <c r="H119" s="17"/>
      <c r="I119" s="18" t="str">
        <f aca="false">IF(OR(G119="",G119=0),"",H119/G119)</f>
        <v/>
      </c>
      <c r="J119" s="12"/>
    </row>
    <row r="120" customFormat="false" ht="15" hidden="false" customHeight="false" outlineLevel="0" collapsed="false">
      <c r="A120" s="21"/>
      <c r="B120" s="7" t="str">
        <f aca="false">IF(A120="","",INT((A120-DATE(2026,11,2))/7)+1)</f>
        <v/>
      </c>
      <c r="C120" s="17"/>
      <c r="D120" s="17"/>
      <c r="E120" s="17"/>
      <c r="F120" s="17"/>
      <c r="G120" s="17"/>
      <c r="H120" s="17"/>
      <c r="I120" s="18" t="str">
        <f aca="false">IF(OR(G120="",G120=0),"",H120/G120)</f>
        <v/>
      </c>
      <c r="J120" s="12"/>
    </row>
    <row r="121" customFormat="false" ht="15" hidden="false" customHeight="false" outlineLevel="0" collapsed="false">
      <c r="A121" s="21"/>
      <c r="B121" s="7" t="str">
        <f aca="false">IF(A121="","",INT((A121-DATE(2026,11,2))/7)+1)</f>
        <v/>
      </c>
      <c r="C121" s="17"/>
      <c r="D121" s="17"/>
      <c r="E121" s="17"/>
      <c r="F121" s="17"/>
      <c r="G121" s="17"/>
      <c r="H121" s="17"/>
      <c r="I121" s="18" t="str">
        <f aca="false">IF(OR(G121="",G121=0),"",H121/G121)</f>
        <v/>
      </c>
      <c r="J121" s="12"/>
    </row>
    <row r="122" customFormat="false" ht="15" hidden="false" customHeight="false" outlineLevel="0" collapsed="false">
      <c r="A122" s="21"/>
      <c r="B122" s="7" t="str">
        <f aca="false">IF(A122="","",INT((A122-DATE(2026,11,2))/7)+1)</f>
        <v/>
      </c>
      <c r="C122" s="17"/>
      <c r="D122" s="17"/>
      <c r="E122" s="17"/>
      <c r="F122" s="17"/>
      <c r="G122" s="17"/>
      <c r="H122" s="17"/>
      <c r="I122" s="18" t="str">
        <f aca="false">IF(OR(G122="",G122=0),"",H122/G122)</f>
        <v/>
      </c>
      <c r="J122" s="12"/>
    </row>
    <row r="123" customFormat="false" ht="15" hidden="false" customHeight="false" outlineLevel="0" collapsed="false">
      <c r="A123" s="21"/>
      <c r="B123" s="7" t="str">
        <f aca="false">IF(A123="","",INT((A123-DATE(2026,11,2))/7)+1)</f>
        <v/>
      </c>
      <c r="C123" s="17"/>
      <c r="D123" s="17"/>
      <c r="E123" s="17"/>
      <c r="F123" s="17"/>
      <c r="G123" s="17"/>
      <c r="H123" s="17"/>
      <c r="I123" s="18" t="str">
        <f aca="false">IF(OR(G123="",G123=0),"",H123/G123)</f>
        <v/>
      </c>
      <c r="J123" s="12"/>
    </row>
    <row r="124" customFormat="false" ht="15" hidden="false" customHeight="false" outlineLevel="0" collapsed="false">
      <c r="A124" s="21"/>
      <c r="B124" s="7" t="str">
        <f aca="false">IF(A124="","",INT((A124-DATE(2026,11,2))/7)+1)</f>
        <v/>
      </c>
      <c r="C124" s="17"/>
      <c r="D124" s="17"/>
      <c r="E124" s="17"/>
      <c r="F124" s="17"/>
      <c r="G124" s="17"/>
      <c r="H124" s="17"/>
      <c r="I124" s="18" t="str">
        <f aca="false">IF(OR(G124="",G124=0),"",H124/G124)</f>
        <v/>
      </c>
      <c r="J124" s="12"/>
    </row>
    <row r="125" customFormat="false" ht="15" hidden="false" customHeight="false" outlineLevel="0" collapsed="false">
      <c r="A125" s="21"/>
      <c r="B125" s="7" t="str">
        <f aca="false">IF(A125="","",INT((A125-DATE(2026,11,2))/7)+1)</f>
        <v/>
      </c>
      <c r="C125" s="17"/>
      <c r="D125" s="17"/>
      <c r="E125" s="17"/>
      <c r="F125" s="17"/>
      <c r="G125" s="17"/>
      <c r="H125" s="17"/>
      <c r="I125" s="18" t="str">
        <f aca="false">IF(OR(G125="",G125=0),"",H125/G125)</f>
        <v/>
      </c>
      <c r="J125" s="12"/>
    </row>
    <row r="126" customFormat="false" ht="15" hidden="false" customHeight="false" outlineLevel="0" collapsed="false">
      <c r="A126" s="21"/>
      <c r="B126" s="7" t="str">
        <f aca="false">IF(A126="","",INT((A126-DATE(2026,11,2))/7)+1)</f>
        <v/>
      </c>
      <c r="C126" s="17"/>
      <c r="D126" s="17"/>
      <c r="E126" s="17"/>
      <c r="F126" s="17"/>
      <c r="G126" s="17"/>
      <c r="H126" s="17"/>
      <c r="I126" s="18" t="str">
        <f aca="false">IF(OR(G126="",G126=0),"",H126/G126)</f>
        <v/>
      </c>
      <c r="J126" s="12"/>
    </row>
    <row r="127" customFormat="false" ht="15" hidden="false" customHeight="false" outlineLevel="0" collapsed="false">
      <c r="A127" s="21"/>
      <c r="B127" s="7" t="str">
        <f aca="false">IF(A127="","",INT((A127-DATE(2026,11,2))/7)+1)</f>
        <v/>
      </c>
      <c r="C127" s="17"/>
      <c r="D127" s="17"/>
      <c r="E127" s="17"/>
      <c r="F127" s="17"/>
      <c r="G127" s="17"/>
      <c r="H127" s="17"/>
      <c r="I127" s="18" t="str">
        <f aca="false">IF(OR(G127="",G127=0),"",H127/G127)</f>
        <v/>
      </c>
      <c r="J127" s="12"/>
    </row>
    <row r="128" customFormat="false" ht="15" hidden="false" customHeight="false" outlineLevel="0" collapsed="false">
      <c r="A128" s="21"/>
      <c r="B128" s="7" t="str">
        <f aca="false">IF(A128="","",INT((A128-DATE(2026,11,2))/7)+1)</f>
        <v/>
      </c>
      <c r="C128" s="17"/>
      <c r="D128" s="17"/>
      <c r="E128" s="17"/>
      <c r="F128" s="17"/>
      <c r="G128" s="17"/>
      <c r="H128" s="17"/>
      <c r="I128" s="18" t="str">
        <f aca="false">IF(OR(G128="",G128=0),"",H128/G128)</f>
        <v/>
      </c>
      <c r="J128" s="12"/>
    </row>
    <row r="129" customFormat="false" ht="15" hidden="false" customHeight="false" outlineLevel="0" collapsed="false">
      <c r="A129" s="21"/>
      <c r="B129" s="7" t="str">
        <f aca="false">IF(A129="","",INT((A129-DATE(2026,11,2))/7)+1)</f>
        <v/>
      </c>
      <c r="C129" s="17"/>
      <c r="D129" s="17"/>
      <c r="E129" s="17"/>
      <c r="F129" s="17"/>
      <c r="G129" s="17"/>
      <c r="H129" s="17"/>
      <c r="I129" s="18" t="str">
        <f aca="false">IF(OR(G129="",G129=0),"",H129/G129)</f>
        <v/>
      </c>
      <c r="J129" s="12"/>
    </row>
    <row r="130" customFormat="false" ht="15" hidden="false" customHeight="false" outlineLevel="0" collapsed="false">
      <c r="A130" s="21"/>
      <c r="B130" s="7" t="str">
        <f aca="false">IF(A130="","",INT((A130-DATE(2026,11,2))/7)+1)</f>
        <v/>
      </c>
      <c r="C130" s="17"/>
      <c r="D130" s="17"/>
      <c r="E130" s="17"/>
      <c r="F130" s="17"/>
      <c r="G130" s="17"/>
      <c r="H130" s="17"/>
      <c r="I130" s="18" t="str">
        <f aca="false">IF(OR(G130="",G130=0),"",H130/G130)</f>
        <v/>
      </c>
      <c r="J130" s="12"/>
    </row>
    <row r="131" customFormat="false" ht="15" hidden="false" customHeight="false" outlineLevel="0" collapsed="false">
      <c r="A131" s="21"/>
      <c r="B131" s="7" t="str">
        <f aca="false">IF(A131="","",INT((A131-DATE(2026,11,2))/7)+1)</f>
        <v/>
      </c>
      <c r="C131" s="17"/>
      <c r="D131" s="17"/>
      <c r="E131" s="17"/>
      <c r="F131" s="17"/>
      <c r="G131" s="17"/>
      <c r="H131" s="17"/>
      <c r="I131" s="18" t="str">
        <f aca="false">IF(OR(G131="",G131=0),"",H131/G131)</f>
        <v/>
      </c>
      <c r="J131" s="12"/>
    </row>
    <row r="132" customFormat="false" ht="15" hidden="false" customHeight="false" outlineLevel="0" collapsed="false">
      <c r="A132" s="21"/>
      <c r="B132" s="7" t="str">
        <f aca="false">IF(A132="","",INT((A132-DATE(2026,11,2))/7)+1)</f>
        <v/>
      </c>
      <c r="C132" s="17"/>
      <c r="D132" s="17"/>
      <c r="E132" s="17"/>
      <c r="F132" s="17"/>
      <c r="G132" s="17"/>
      <c r="H132" s="17"/>
      <c r="I132" s="18" t="str">
        <f aca="false">IF(OR(G132="",G132=0),"",H132/G132)</f>
        <v/>
      </c>
      <c r="J132" s="12"/>
    </row>
    <row r="133" customFormat="false" ht="15" hidden="false" customHeight="false" outlineLevel="0" collapsed="false">
      <c r="A133" s="21"/>
      <c r="B133" s="7" t="str">
        <f aca="false">IF(A133="","",INT((A133-DATE(2026,11,2))/7)+1)</f>
        <v/>
      </c>
      <c r="C133" s="17"/>
      <c r="D133" s="17"/>
      <c r="E133" s="17"/>
      <c r="F133" s="17"/>
      <c r="G133" s="17"/>
      <c r="H133" s="17"/>
      <c r="I133" s="18" t="str">
        <f aca="false">IF(OR(G133="",G133=0),"",H133/G133)</f>
        <v/>
      </c>
      <c r="J133" s="12"/>
    </row>
    <row r="134" customFormat="false" ht="15" hidden="false" customHeight="false" outlineLevel="0" collapsed="false">
      <c r="A134" s="21"/>
      <c r="B134" s="7" t="str">
        <f aca="false">IF(A134="","",INT((A134-DATE(2026,11,2))/7)+1)</f>
        <v/>
      </c>
      <c r="C134" s="17"/>
      <c r="D134" s="17"/>
      <c r="E134" s="17"/>
      <c r="F134" s="17"/>
      <c r="G134" s="17"/>
      <c r="H134" s="17"/>
      <c r="I134" s="18" t="str">
        <f aca="false">IF(OR(G134="",G134=0),"",H134/G134)</f>
        <v/>
      </c>
      <c r="J134" s="12"/>
    </row>
    <row r="135" customFormat="false" ht="15" hidden="false" customHeight="false" outlineLevel="0" collapsed="false">
      <c r="A135" s="21"/>
      <c r="B135" s="7" t="str">
        <f aca="false">IF(A135="","",INT((A135-DATE(2026,11,2))/7)+1)</f>
        <v/>
      </c>
      <c r="C135" s="17"/>
      <c r="D135" s="17"/>
      <c r="E135" s="17"/>
      <c r="F135" s="17"/>
      <c r="G135" s="17"/>
      <c r="H135" s="17"/>
      <c r="I135" s="18" t="str">
        <f aca="false">IF(OR(G135="",G135=0),"",H135/G135)</f>
        <v/>
      </c>
      <c r="J135" s="12"/>
    </row>
    <row r="136" customFormat="false" ht="15" hidden="false" customHeight="false" outlineLevel="0" collapsed="false">
      <c r="A136" s="21"/>
      <c r="B136" s="7" t="str">
        <f aca="false">IF(A136="","",INT((A136-DATE(2026,11,2))/7)+1)</f>
        <v/>
      </c>
      <c r="C136" s="17"/>
      <c r="D136" s="17"/>
      <c r="E136" s="17"/>
      <c r="F136" s="17"/>
      <c r="G136" s="17"/>
      <c r="H136" s="17"/>
      <c r="I136" s="18" t="str">
        <f aca="false">IF(OR(G136="",G136=0),"",H136/G136)</f>
        <v/>
      </c>
      <c r="J136" s="12"/>
    </row>
    <row r="137" customFormat="false" ht="15" hidden="false" customHeight="false" outlineLevel="0" collapsed="false">
      <c r="A137" s="21"/>
      <c r="B137" s="7" t="str">
        <f aca="false">IF(A137="","",INT((A137-DATE(2026,11,2))/7)+1)</f>
        <v/>
      </c>
      <c r="C137" s="17"/>
      <c r="D137" s="17"/>
      <c r="E137" s="17"/>
      <c r="F137" s="17"/>
      <c r="G137" s="17"/>
      <c r="H137" s="17"/>
      <c r="I137" s="18" t="str">
        <f aca="false">IF(OR(G137="",G137=0),"",H137/G137)</f>
        <v/>
      </c>
      <c r="J137" s="12"/>
    </row>
    <row r="138" customFormat="false" ht="15" hidden="false" customHeight="false" outlineLevel="0" collapsed="false">
      <c r="A138" s="21"/>
      <c r="B138" s="7" t="str">
        <f aca="false">IF(A138="","",INT((A138-DATE(2026,11,2))/7)+1)</f>
        <v/>
      </c>
      <c r="C138" s="17"/>
      <c r="D138" s="17"/>
      <c r="E138" s="17"/>
      <c r="F138" s="17"/>
      <c r="G138" s="17"/>
      <c r="H138" s="17"/>
      <c r="I138" s="18" t="str">
        <f aca="false">IF(OR(G138="",G138=0),"",H138/G138)</f>
        <v/>
      </c>
      <c r="J138" s="12"/>
    </row>
    <row r="139" customFormat="false" ht="15" hidden="false" customHeight="false" outlineLevel="0" collapsed="false">
      <c r="A139" s="21"/>
      <c r="B139" s="7" t="str">
        <f aca="false">IF(A139="","",INT((A139-DATE(2026,11,2))/7)+1)</f>
        <v/>
      </c>
      <c r="C139" s="17"/>
      <c r="D139" s="17"/>
      <c r="E139" s="17"/>
      <c r="F139" s="17"/>
      <c r="G139" s="17"/>
      <c r="H139" s="17"/>
      <c r="I139" s="18" t="str">
        <f aca="false">IF(OR(G139="",G139=0),"",H139/G139)</f>
        <v/>
      </c>
      <c r="J139" s="12"/>
    </row>
    <row r="140" customFormat="false" ht="15" hidden="false" customHeight="false" outlineLevel="0" collapsed="false">
      <c r="A140" s="21"/>
      <c r="B140" s="7" t="str">
        <f aca="false">IF(A140="","",INT((A140-DATE(2026,11,2))/7)+1)</f>
        <v/>
      </c>
      <c r="C140" s="17"/>
      <c r="D140" s="17"/>
      <c r="E140" s="17"/>
      <c r="F140" s="17"/>
      <c r="G140" s="17"/>
      <c r="H140" s="17"/>
      <c r="I140" s="18" t="str">
        <f aca="false">IF(OR(G140="",G140=0),"",H140/G140)</f>
        <v/>
      </c>
      <c r="J140" s="12"/>
    </row>
    <row r="141" customFormat="false" ht="15" hidden="false" customHeight="false" outlineLevel="0" collapsed="false">
      <c r="A141" s="21"/>
      <c r="B141" s="7" t="str">
        <f aca="false">IF(A141="","",INT((A141-DATE(2026,11,2))/7)+1)</f>
        <v/>
      </c>
      <c r="C141" s="17"/>
      <c r="D141" s="17"/>
      <c r="E141" s="17"/>
      <c r="F141" s="17"/>
      <c r="G141" s="17"/>
      <c r="H141" s="17"/>
      <c r="I141" s="18" t="str">
        <f aca="false">IF(OR(G141="",G141=0),"",H141/G141)</f>
        <v/>
      </c>
      <c r="J141" s="12"/>
    </row>
    <row r="142" customFormat="false" ht="15" hidden="false" customHeight="false" outlineLevel="0" collapsed="false">
      <c r="A142" s="21"/>
      <c r="B142" s="7" t="str">
        <f aca="false">IF(A142="","",INT((A142-DATE(2026,11,2))/7)+1)</f>
        <v/>
      </c>
      <c r="C142" s="17"/>
      <c r="D142" s="17"/>
      <c r="E142" s="17"/>
      <c r="F142" s="17"/>
      <c r="G142" s="17"/>
      <c r="H142" s="17"/>
      <c r="I142" s="18" t="str">
        <f aca="false">IF(OR(G142="",G142=0),"",H142/G142)</f>
        <v/>
      </c>
      <c r="J142" s="12"/>
    </row>
    <row r="143" customFormat="false" ht="15" hidden="false" customHeight="false" outlineLevel="0" collapsed="false">
      <c r="A143" s="21"/>
      <c r="B143" s="7" t="str">
        <f aca="false">IF(A143="","",INT((A143-DATE(2026,11,2))/7)+1)</f>
        <v/>
      </c>
      <c r="C143" s="17"/>
      <c r="D143" s="17"/>
      <c r="E143" s="17"/>
      <c r="F143" s="17"/>
      <c r="G143" s="17"/>
      <c r="H143" s="17"/>
      <c r="I143" s="18" t="str">
        <f aca="false">IF(OR(G143="",G143=0),"",H143/G143)</f>
        <v/>
      </c>
      <c r="J143" s="12"/>
    </row>
    <row r="144" customFormat="false" ht="15" hidden="false" customHeight="false" outlineLevel="0" collapsed="false">
      <c r="A144" s="21"/>
      <c r="B144" s="7" t="str">
        <f aca="false">IF(A144="","",INT((A144-DATE(2026,11,2))/7)+1)</f>
        <v/>
      </c>
      <c r="C144" s="17"/>
      <c r="D144" s="17"/>
      <c r="E144" s="17"/>
      <c r="F144" s="17"/>
      <c r="G144" s="17"/>
      <c r="H144" s="17"/>
      <c r="I144" s="18" t="str">
        <f aca="false">IF(OR(G144="",G144=0),"",H144/G144)</f>
        <v/>
      </c>
      <c r="J144" s="12"/>
    </row>
    <row r="145" customFormat="false" ht="15" hidden="false" customHeight="false" outlineLevel="0" collapsed="false">
      <c r="A145" s="21"/>
      <c r="B145" s="7" t="str">
        <f aca="false">IF(A145="","",INT((A145-DATE(2026,11,2))/7)+1)</f>
        <v/>
      </c>
      <c r="C145" s="17"/>
      <c r="D145" s="17"/>
      <c r="E145" s="17"/>
      <c r="F145" s="17"/>
      <c r="G145" s="17"/>
      <c r="H145" s="17"/>
      <c r="I145" s="18" t="str">
        <f aca="false">IF(OR(G145="",G145=0),"",H145/G145)</f>
        <v/>
      </c>
      <c r="J145" s="12"/>
    </row>
    <row r="146" customFormat="false" ht="15" hidden="false" customHeight="false" outlineLevel="0" collapsed="false">
      <c r="A146" s="21"/>
      <c r="B146" s="7" t="str">
        <f aca="false">IF(A146="","",INT((A146-DATE(2026,11,2))/7)+1)</f>
        <v/>
      </c>
      <c r="C146" s="17"/>
      <c r="D146" s="17"/>
      <c r="E146" s="17"/>
      <c r="F146" s="17"/>
      <c r="G146" s="17"/>
      <c r="H146" s="17"/>
      <c r="I146" s="18" t="str">
        <f aca="false">IF(OR(G146="",G146=0),"",H146/G146)</f>
        <v/>
      </c>
      <c r="J146" s="12"/>
    </row>
    <row r="147" customFormat="false" ht="15" hidden="false" customHeight="false" outlineLevel="0" collapsed="false">
      <c r="A147" s="21"/>
      <c r="B147" s="7" t="str">
        <f aca="false">IF(A147="","",INT((A147-DATE(2026,11,2))/7)+1)</f>
        <v/>
      </c>
      <c r="C147" s="17"/>
      <c r="D147" s="17"/>
      <c r="E147" s="17"/>
      <c r="F147" s="17"/>
      <c r="G147" s="17"/>
      <c r="H147" s="17"/>
      <c r="I147" s="18" t="str">
        <f aca="false">IF(OR(G147="",G147=0),"",H147/G147)</f>
        <v/>
      </c>
      <c r="J147" s="12"/>
    </row>
    <row r="148" customFormat="false" ht="15" hidden="false" customHeight="false" outlineLevel="0" collapsed="false">
      <c r="A148" s="21"/>
      <c r="B148" s="7" t="str">
        <f aca="false">IF(A148="","",INT((A148-DATE(2026,11,2))/7)+1)</f>
        <v/>
      </c>
      <c r="C148" s="17"/>
      <c r="D148" s="17"/>
      <c r="E148" s="17"/>
      <c r="F148" s="17"/>
      <c r="G148" s="17"/>
      <c r="H148" s="17"/>
      <c r="I148" s="18" t="str">
        <f aca="false">IF(OR(G148="",G148=0),"",H148/G148)</f>
        <v/>
      </c>
      <c r="J148" s="12"/>
    </row>
    <row r="149" customFormat="false" ht="15" hidden="false" customHeight="false" outlineLevel="0" collapsed="false">
      <c r="A149" s="21"/>
      <c r="B149" s="7" t="str">
        <f aca="false">IF(A149="","",INT((A149-DATE(2026,11,2))/7)+1)</f>
        <v/>
      </c>
      <c r="C149" s="17"/>
      <c r="D149" s="17"/>
      <c r="E149" s="17"/>
      <c r="F149" s="17"/>
      <c r="G149" s="17"/>
      <c r="H149" s="17"/>
      <c r="I149" s="18" t="str">
        <f aca="false">IF(OR(G149="",G149=0),"",H149/G149)</f>
        <v/>
      </c>
      <c r="J149" s="12"/>
    </row>
    <row r="150" customFormat="false" ht="15" hidden="false" customHeight="false" outlineLevel="0" collapsed="false">
      <c r="A150" s="21"/>
      <c r="B150" s="7" t="str">
        <f aca="false">IF(A150="","",INT((A150-DATE(2026,11,2))/7)+1)</f>
        <v/>
      </c>
      <c r="C150" s="17"/>
      <c r="D150" s="17"/>
      <c r="E150" s="17"/>
      <c r="F150" s="17"/>
      <c r="G150" s="17"/>
      <c r="H150" s="17"/>
      <c r="I150" s="18" t="str">
        <f aca="false">IF(OR(G150="",G150=0),"",H150/G150)</f>
        <v/>
      </c>
      <c r="J150" s="12"/>
    </row>
    <row r="151" customFormat="false" ht="15" hidden="false" customHeight="false" outlineLevel="0" collapsed="false">
      <c r="A151" s="21"/>
      <c r="B151" s="7" t="str">
        <f aca="false">IF(A151="","",INT((A151-DATE(2026,11,2))/7)+1)</f>
        <v/>
      </c>
      <c r="C151" s="17"/>
      <c r="D151" s="17"/>
      <c r="E151" s="17"/>
      <c r="F151" s="17"/>
      <c r="G151" s="17"/>
      <c r="H151" s="17"/>
      <c r="I151" s="18" t="str">
        <f aca="false">IF(OR(G151="",G151=0),"",H151/G151)</f>
        <v/>
      </c>
      <c r="J151" s="12"/>
    </row>
    <row r="152" customFormat="false" ht="15" hidden="false" customHeight="false" outlineLevel="0" collapsed="false">
      <c r="A152" s="21"/>
      <c r="B152" s="7" t="str">
        <f aca="false">IF(A152="","",INT((A152-DATE(2026,11,2))/7)+1)</f>
        <v/>
      </c>
      <c r="C152" s="17"/>
      <c r="D152" s="17"/>
      <c r="E152" s="17"/>
      <c r="F152" s="17"/>
      <c r="G152" s="17"/>
      <c r="H152" s="17"/>
      <c r="I152" s="18" t="str">
        <f aca="false">IF(OR(G152="",G152=0),"",H152/G152)</f>
        <v/>
      </c>
      <c r="J152" s="12"/>
    </row>
    <row r="153" customFormat="false" ht="15" hidden="false" customHeight="false" outlineLevel="0" collapsed="false">
      <c r="A153" s="21"/>
      <c r="B153" s="7" t="str">
        <f aca="false">IF(A153="","",INT((A153-DATE(2026,11,2))/7)+1)</f>
        <v/>
      </c>
      <c r="C153" s="17"/>
      <c r="D153" s="17"/>
      <c r="E153" s="17"/>
      <c r="F153" s="17"/>
      <c r="G153" s="17"/>
      <c r="H153" s="17"/>
      <c r="I153" s="18" t="str">
        <f aca="false">IF(OR(G153="",G153=0),"",H153/G153)</f>
        <v/>
      </c>
      <c r="J153" s="12"/>
    </row>
    <row r="154" customFormat="false" ht="15" hidden="false" customHeight="false" outlineLevel="0" collapsed="false">
      <c r="A154" s="21"/>
      <c r="B154" s="7" t="str">
        <f aca="false">IF(A154="","",INT((A154-DATE(2026,11,2))/7)+1)</f>
        <v/>
      </c>
      <c r="C154" s="17"/>
      <c r="D154" s="17"/>
      <c r="E154" s="17"/>
      <c r="F154" s="17"/>
      <c r="G154" s="17"/>
      <c r="H154" s="17"/>
      <c r="I154" s="18" t="str">
        <f aca="false">IF(OR(G154="",G154=0),"",H154/G154)</f>
        <v/>
      </c>
      <c r="J154" s="12"/>
    </row>
    <row r="155" customFormat="false" ht="15" hidden="false" customHeight="false" outlineLevel="0" collapsed="false">
      <c r="A155" s="21"/>
      <c r="B155" s="7" t="str">
        <f aca="false">IF(A155="","",INT((A155-DATE(2026,11,2))/7)+1)</f>
        <v/>
      </c>
      <c r="C155" s="17"/>
      <c r="D155" s="17"/>
      <c r="E155" s="17"/>
      <c r="F155" s="17"/>
      <c r="G155" s="17"/>
      <c r="H155" s="17"/>
      <c r="I155" s="18" t="str">
        <f aca="false">IF(OR(G155="",G155=0),"",H155/G155)</f>
        <v/>
      </c>
      <c r="J155" s="12"/>
    </row>
    <row r="156" customFormat="false" ht="15" hidden="false" customHeight="false" outlineLevel="0" collapsed="false">
      <c r="A156" s="21"/>
      <c r="B156" s="7" t="str">
        <f aca="false">IF(A156="","",INT((A156-DATE(2026,11,2))/7)+1)</f>
        <v/>
      </c>
      <c r="C156" s="17"/>
      <c r="D156" s="17"/>
      <c r="E156" s="17"/>
      <c r="F156" s="17"/>
      <c r="G156" s="17"/>
      <c r="H156" s="17"/>
      <c r="I156" s="18" t="str">
        <f aca="false">IF(OR(G156="",G156=0),"",H156/G156)</f>
        <v/>
      </c>
      <c r="J156" s="12"/>
    </row>
    <row r="157" customFormat="false" ht="15" hidden="false" customHeight="false" outlineLevel="0" collapsed="false">
      <c r="A157" s="21"/>
      <c r="B157" s="7" t="str">
        <f aca="false">IF(A157="","",INT((A157-DATE(2026,11,2))/7)+1)</f>
        <v/>
      </c>
      <c r="C157" s="17"/>
      <c r="D157" s="17"/>
      <c r="E157" s="17"/>
      <c r="F157" s="17"/>
      <c r="G157" s="17"/>
      <c r="H157" s="17"/>
      <c r="I157" s="18" t="str">
        <f aca="false">IF(OR(G157="",G157=0),"",H157/G157)</f>
        <v/>
      </c>
      <c r="J157" s="12"/>
    </row>
    <row r="158" customFormat="false" ht="15" hidden="false" customHeight="false" outlineLevel="0" collapsed="false">
      <c r="A158" s="21"/>
      <c r="B158" s="7" t="str">
        <f aca="false">IF(A158="","",INT((A158-DATE(2026,11,2))/7)+1)</f>
        <v/>
      </c>
      <c r="C158" s="17"/>
      <c r="D158" s="17"/>
      <c r="E158" s="17"/>
      <c r="F158" s="17"/>
      <c r="G158" s="17"/>
      <c r="H158" s="17"/>
      <c r="I158" s="18" t="str">
        <f aca="false">IF(OR(G158="",G158=0),"",H158/G158)</f>
        <v/>
      </c>
      <c r="J158" s="12"/>
    </row>
    <row r="159" customFormat="false" ht="15" hidden="false" customHeight="false" outlineLevel="0" collapsed="false">
      <c r="A159" s="21"/>
      <c r="B159" s="7" t="str">
        <f aca="false">IF(A159="","",INT((A159-DATE(2026,11,2))/7)+1)</f>
        <v/>
      </c>
      <c r="C159" s="17"/>
      <c r="D159" s="17"/>
      <c r="E159" s="17"/>
      <c r="F159" s="17"/>
      <c r="G159" s="17"/>
      <c r="H159" s="17"/>
      <c r="I159" s="18" t="str">
        <f aca="false">IF(OR(G159="",G159=0),"",H159/G159)</f>
        <v/>
      </c>
      <c r="J159" s="12"/>
    </row>
    <row r="160" customFormat="false" ht="15" hidden="false" customHeight="false" outlineLevel="0" collapsed="false">
      <c r="A160" s="21"/>
      <c r="B160" s="7" t="str">
        <f aca="false">IF(A160="","",INT((A160-DATE(2026,11,2))/7)+1)</f>
        <v/>
      </c>
      <c r="C160" s="17"/>
      <c r="D160" s="17"/>
      <c r="E160" s="17"/>
      <c r="F160" s="17"/>
      <c r="G160" s="17"/>
      <c r="H160" s="17"/>
      <c r="I160" s="18" t="str">
        <f aca="false">IF(OR(G160="",G160=0),"",H160/G160)</f>
        <v/>
      </c>
      <c r="J160" s="12"/>
    </row>
    <row r="161" customFormat="false" ht="15" hidden="false" customHeight="false" outlineLevel="0" collapsed="false">
      <c r="A161" s="21"/>
      <c r="B161" s="7" t="str">
        <f aca="false">IF(A161="","",INT((A161-DATE(2026,11,2))/7)+1)</f>
        <v/>
      </c>
      <c r="C161" s="17"/>
      <c r="D161" s="17"/>
      <c r="E161" s="17"/>
      <c r="F161" s="17"/>
      <c r="G161" s="17"/>
      <c r="H161" s="17"/>
      <c r="I161" s="18" t="str">
        <f aca="false">IF(OR(G161="",G161=0),"",H161/G161)</f>
        <v/>
      </c>
      <c r="J161" s="12"/>
    </row>
    <row r="162" customFormat="false" ht="15" hidden="false" customHeight="false" outlineLevel="0" collapsed="false">
      <c r="A162" s="21"/>
      <c r="B162" s="7" t="str">
        <f aca="false">IF(A162="","",INT((A162-DATE(2026,11,2))/7)+1)</f>
        <v/>
      </c>
      <c r="C162" s="17"/>
      <c r="D162" s="17"/>
      <c r="E162" s="17"/>
      <c r="F162" s="17"/>
      <c r="G162" s="17"/>
      <c r="H162" s="17"/>
      <c r="I162" s="18" t="str">
        <f aca="false">IF(OR(G162="",G162=0),"",H162/G162)</f>
        <v/>
      </c>
      <c r="J162" s="12"/>
    </row>
    <row r="163" customFormat="false" ht="15" hidden="false" customHeight="false" outlineLevel="0" collapsed="false">
      <c r="A163" s="21"/>
      <c r="B163" s="7" t="str">
        <f aca="false">IF(A163="","",INT((A163-DATE(2026,11,2))/7)+1)</f>
        <v/>
      </c>
      <c r="C163" s="17"/>
      <c r="D163" s="17"/>
      <c r="E163" s="17"/>
      <c r="F163" s="17"/>
      <c r="G163" s="17"/>
      <c r="H163" s="17"/>
      <c r="I163" s="18" t="str">
        <f aca="false">IF(OR(G163="",G163=0),"",H163/G163)</f>
        <v/>
      </c>
      <c r="J163" s="12"/>
    </row>
    <row r="164" customFormat="false" ht="15" hidden="false" customHeight="false" outlineLevel="0" collapsed="false">
      <c r="A164" s="21"/>
      <c r="B164" s="7" t="str">
        <f aca="false">IF(A164="","",INT((A164-DATE(2026,11,2))/7)+1)</f>
        <v/>
      </c>
      <c r="C164" s="17"/>
      <c r="D164" s="17"/>
      <c r="E164" s="17"/>
      <c r="F164" s="17"/>
      <c r="G164" s="17"/>
      <c r="H164" s="17"/>
      <c r="I164" s="18" t="str">
        <f aca="false">IF(OR(G164="",G164=0),"",H164/G164)</f>
        <v/>
      </c>
      <c r="J164" s="12"/>
    </row>
    <row r="165" customFormat="false" ht="15" hidden="false" customHeight="false" outlineLevel="0" collapsed="false">
      <c r="A165" s="21"/>
      <c r="B165" s="7" t="str">
        <f aca="false">IF(A165="","",INT((A165-DATE(2026,11,2))/7)+1)</f>
        <v/>
      </c>
      <c r="C165" s="17"/>
      <c r="D165" s="17"/>
      <c r="E165" s="17"/>
      <c r="F165" s="17"/>
      <c r="G165" s="17"/>
      <c r="H165" s="17"/>
      <c r="I165" s="18" t="str">
        <f aca="false">IF(OR(G165="",G165=0),"",H165/G165)</f>
        <v/>
      </c>
      <c r="J165" s="12"/>
    </row>
    <row r="166" customFormat="false" ht="15" hidden="false" customHeight="false" outlineLevel="0" collapsed="false">
      <c r="A166" s="21"/>
      <c r="B166" s="7" t="str">
        <f aca="false">IF(A166="","",INT((A166-DATE(2026,11,2))/7)+1)</f>
        <v/>
      </c>
      <c r="C166" s="17"/>
      <c r="D166" s="17"/>
      <c r="E166" s="17"/>
      <c r="F166" s="17"/>
      <c r="G166" s="17"/>
      <c r="H166" s="17"/>
      <c r="I166" s="18" t="str">
        <f aca="false">IF(OR(G166="",G166=0),"",H166/G166)</f>
        <v/>
      </c>
      <c r="J166" s="12"/>
    </row>
    <row r="167" customFormat="false" ht="15" hidden="false" customHeight="false" outlineLevel="0" collapsed="false">
      <c r="A167" s="21"/>
      <c r="B167" s="7" t="str">
        <f aca="false">IF(A167="","",INT((A167-DATE(2026,11,2))/7)+1)</f>
        <v/>
      </c>
      <c r="C167" s="17"/>
      <c r="D167" s="17"/>
      <c r="E167" s="17"/>
      <c r="F167" s="17"/>
      <c r="G167" s="17"/>
      <c r="H167" s="17"/>
      <c r="I167" s="18" t="str">
        <f aca="false">IF(OR(G167="",G167=0),"",H167/G167)</f>
        <v/>
      </c>
      <c r="J167" s="12"/>
    </row>
    <row r="168" customFormat="false" ht="15" hidden="false" customHeight="false" outlineLevel="0" collapsed="false">
      <c r="A168" s="21"/>
      <c r="B168" s="7" t="str">
        <f aca="false">IF(A168="","",INT((A168-DATE(2026,11,2))/7)+1)</f>
        <v/>
      </c>
      <c r="C168" s="17"/>
      <c r="D168" s="17"/>
      <c r="E168" s="17"/>
      <c r="F168" s="17"/>
      <c r="G168" s="17"/>
      <c r="H168" s="17"/>
      <c r="I168" s="18" t="str">
        <f aca="false">IF(OR(G168="",G168=0),"",H168/G168)</f>
        <v/>
      </c>
      <c r="J168" s="12"/>
    </row>
    <row r="169" customFormat="false" ht="15" hidden="false" customHeight="false" outlineLevel="0" collapsed="false">
      <c r="A169" s="21"/>
      <c r="B169" s="7" t="str">
        <f aca="false">IF(A169="","",INT((A169-DATE(2026,11,2))/7)+1)</f>
        <v/>
      </c>
      <c r="C169" s="17"/>
      <c r="D169" s="17"/>
      <c r="E169" s="17"/>
      <c r="F169" s="17"/>
      <c r="G169" s="17"/>
      <c r="H169" s="17"/>
      <c r="I169" s="18" t="str">
        <f aca="false">IF(OR(G169="",G169=0),"",H169/G169)</f>
        <v/>
      </c>
      <c r="J169" s="12"/>
    </row>
    <row r="170" customFormat="false" ht="15" hidden="false" customHeight="false" outlineLevel="0" collapsed="false">
      <c r="A170" s="21"/>
      <c r="B170" s="7" t="str">
        <f aca="false">IF(A170="","",INT((A170-DATE(2026,11,2))/7)+1)</f>
        <v/>
      </c>
      <c r="C170" s="17"/>
      <c r="D170" s="17"/>
      <c r="E170" s="17"/>
      <c r="F170" s="17"/>
      <c r="G170" s="17"/>
      <c r="H170" s="17"/>
      <c r="I170" s="18" t="str">
        <f aca="false">IF(OR(G170="",G170=0),"",H170/G170)</f>
        <v/>
      </c>
      <c r="J170" s="12"/>
    </row>
    <row r="171" customFormat="false" ht="15" hidden="false" customHeight="false" outlineLevel="0" collapsed="false">
      <c r="A171" s="21"/>
      <c r="B171" s="7" t="str">
        <f aca="false">IF(A171="","",INT((A171-DATE(2026,11,2))/7)+1)</f>
        <v/>
      </c>
      <c r="C171" s="17"/>
      <c r="D171" s="17"/>
      <c r="E171" s="17"/>
      <c r="F171" s="17"/>
      <c r="G171" s="17"/>
      <c r="H171" s="17"/>
      <c r="I171" s="18" t="str">
        <f aca="false">IF(OR(G171="",G171=0),"",H171/G171)</f>
        <v/>
      </c>
      <c r="J171" s="12"/>
    </row>
    <row r="172" customFormat="false" ht="15" hidden="false" customHeight="false" outlineLevel="0" collapsed="false">
      <c r="A172" s="21"/>
      <c r="B172" s="7" t="str">
        <f aca="false">IF(A172="","",INT((A172-DATE(2026,11,2))/7)+1)</f>
        <v/>
      </c>
      <c r="C172" s="17"/>
      <c r="D172" s="17"/>
      <c r="E172" s="17"/>
      <c r="F172" s="17"/>
      <c r="G172" s="17"/>
      <c r="H172" s="17"/>
      <c r="I172" s="18" t="str">
        <f aca="false">IF(OR(G172="",G172=0),"",H172/G172)</f>
        <v/>
      </c>
      <c r="J172" s="12"/>
    </row>
    <row r="173" customFormat="false" ht="15" hidden="false" customHeight="false" outlineLevel="0" collapsed="false">
      <c r="A173" s="21"/>
      <c r="B173" s="7" t="str">
        <f aca="false">IF(A173="","",INT((A173-DATE(2026,11,2))/7)+1)</f>
        <v/>
      </c>
      <c r="C173" s="17"/>
      <c r="D173" s="17"/>
      <c r="E173" s="17"/>
      <c r="F173" s="17"/>
      <c r="G173" s="17"/>
      <c r="H173" s="17"/>
      <c r="I173" s="18" t="str">
        <f aca="false">IF(OR(G173="",G173=0),"",H173/G173)</f>
        <v/>
      </c>
      <c r="J173" s="12"/>
    </row>
    <row r="174" customFormat="false" ht="15" hidden="false" customHeight="false" outlineLevel="0" collapsed="false">
      <c r="A174" s="21"/>
      <c r="B174" s="7" t="str">
        <f aca="false">IF(A174="","",INT((A174-DATE(2026,11,2))/7)+1)</f>
        <v/>
      </c>
      <c r="C174" s="17"/>
      <c r="D174" s="17"/>
      <c r="E174" s="17"/>
      <c r="F174" s="17"/>
      <c r="G174" s="17"/>
      <c r="H174" s="17"/>
      <c r="I174" s="18" t="str">
        <f aca="false">IF(OR(G174="",G174=0),"",H174/G174)</f>
        <v/>
      </c>
      <c r="J174" s="12"/>
    </row>
    <row r="175" customFormat="false" ht="15" hidden="false" customHeight="false" outlineLevel="0" collapsed="false">
      <c r="A175" s="21"/>
      <c r="B175" s="7" t="str">
        <f aca="false">IF(A175="","",INT((A175-DATE(2026,11,2))/7)+1)</f>
        <v/>
      </c>
      <c r="C175" s="17"/>
      <c r="D175" s="17"/>
      <c r="E175" s="17"/>
      <c r="F175" s="17"/>
      <c r="G175" s="17"/>
      <c r="H175" s="17"/>
      <c r="I175" s="18" t="str">
        <f aca="false">IF(OR(G175="",G175=0),"",H175/G175)</f>
        <v/>
      </c>
      <c r="J175" s="12"/>
    </row>
    <row r="176" customFormat="false" ht="15" hidden="false" customHeight="false" outlineLevel="0" collapsed="false">
      <c r="A176" s="21"/>
      <c r="B176" s="7" t="str">
        <f aca="false">IF(A176="","",INT((A176-DATE(2026,11,2))/7)+1)</f>
        <v/>
      </c>
      <c r="C176" s="17"/>
      <c r="D176" s="17"/>
      <c r="E176" s="17"/>
      <c r="F176" s="17"/>
      <c r="G176" s="17"/>
      <c r="H176" s="17"/>
      <c r="I176" s="18" t="str">
        <f aca="false">IF(OR(G176="",G176=0),"",H176/G176)</f>
        <v/>
      </c>
      <c r="J176" s="12"/>
    </row>
    <row r="177" customFormat="false" ht="15" hidden="false" customHeight="false" outlineLevel="0" collapsed="false">
      <c r="A177" s="21"/>
      <c r="B177" s="7" t="str">
        <f aca="false">IF(A177="","",INT((A177-DATE(2026,11,2))/7)+1)</f>
        <v/>
      </c>
      <c r="C177" s="17"/>
      <c r="D177" s="17"/>
      <c r="E177" s="17"/>
      <c r="F177" s="17"/>
      <c r="G177" s="17"/>
      <c r="H177" s="17"/>
      <c r="I177" s="18" t="str">
        <f aca="false">IF(OR(G177="",G177=0),"",H177/G177)</f>
        <v/>
      </c>
      <c r="J177" s="12"/>
    </row>
    <row r="178" customFormat="false" ht="15" hidden="false" customHeight="false" outlineLevel="0" collapsed="false">
      <c r="A178" s="21"/>
      <c r="B178" s="7" t="str">
        <f aca="false">IF(A178="","",INT((A178-DATE(2026,11,2))/7)+1)</f>
        <v/>
      </c>
      <c r="C178" s="17"/>
      <c r="D178" s="17"/>
      <c r="E178" s="17"/>
      <c r="F178" s="17"/>
      <c r="G178" s="17"/>
      <c r="H178" s="17"/>
      <c r="I178" s="18" t="str">
        <f aca="false">IF(OR(G178="",G178=0),"",H178/G178)</f>
        <v/>
      </c>
      <c r="J178" s="12"/>
    </row>
    <row r="179" customFormat="false" ht="15" hidden="false" customHeight="false" outlineLevel="0" collapsed="false">
      <c r="A179" s="21"/>
      <c r="B179" s="7" t="str">
        <f aca="false">IF(A179="","",INT((A179-DATE(2026,11,2))/7)+1)</f>
        <v/>
      </c>
      <c r="C179" s="17"/>
      <c r="D179" s="17"/>
      <c r="E179" s="17"/>
      <c r="F179" s="17"/>
      <c r="G179" s="17"/>
      <c r="H179" s="17"/>
      <c r="I179" s="18" t="str">
        <f aca="false">IF(OR(G179="",G179=0),"",H179/G179)</f>
        <v/>
      </c>
      <c r="J179" s="12"/>
    </row>
    <row r="180" customFormat="false" ht="15" hidden="false" customHeight="false" outlineLevel="0" collapsed="false">
      <c r="A180" s="21"/>
      <c r="B180" s="7" t="str">
        <f aca="false">IF(A180="","",INT((A180-DATE(2026,11,2))/7)+1)</f>
        <v/>
      </c>
      <c r="C180" s="17"/>
      <c r="D180" s="17"/>
      <c r="E180" s="17"/>
      <c r="F180" s="17"/>
      <c r="G180" s="17"/>
      <c r="H180" s="17"/>
      <c r="I180" s="18" t="str">
        <f aca="false">IF(OR(G180="",G180=0),"",H180/G180)</f>
        <v/>
      </c>
      <c r="J180" s="12"/>
    </row>
    <row r="181" customFormat="false" ht="15" hidden="false" customHeight="false" outlineLevel="0" collapsed="false">
      <c r="A181" s="21"/>
      <c r="B181" s="7" t="str">
        <f aca="false">IF(A181="","",INT((A181-DATE(2026,11,2))/7)+1)</f>
        <v/>
      </c>
      <c r="C181" s="17"/>
      <c r="D181" s="17"/>
      <c r="E181" s="17"/>
      <c r="F181" s="17"/>
      <c r="G181" s="17"/>
      <c r="H181" s="17"/>
      <c r="I181" s="18" t="str">
        <f aca="false">IF(OR(G181="",G181=0),"",H181/G181)</f>
        <v/>
      </c>
      <c r="J181" s="12"/>
    </row>
    <row r="182" customFormat="false" ht="15" hidden="false" customHeight="false" outlineLevel="0" collapsed="false">
      <c r="A182" s="21"/>
      <c r="B182" s="7" t="str">
        <f aca="false">IF(A182="","",INT((A182-DATE(2026,11,2))/7)+1)</f>
        <v/>
      </c>
      <c r="C182" s="17"/>
      <c r="D182" s="17"/>
      <c r="E182" s="17"/>
      <c r="F182" s="17"/>
      <c r="G182" s="17"/>
      <c r="H182" s="17"/>
      <c r="I182" s="18" t="str">
        <f aca="false">IF(OR(G182="",G182=0),"",H182/G182)</f>
        <v/>
      </c>
      <c r="J182" s="12"/>
    </row>
    <row r="183" customFormat="false" ht="15" hidden="false" customHeight="false" outlineLevel="0" collapsed="false">
      <c r="A183" s="21"/>
      <c r="B183" s="7" t="str">
        <f aca="false">IF(A183="","",INT((A183-DATE(2026,11,2))/7)+1)</f>
        <v/>
      </c>
      <c r="C183" s="17"/>
      <c r="D183" s="17"/>
      <c r="E183" s="17"/>
      <c r="F183" s="17"/>
      <c r="G183" s="17"/>
      <c r="H183" s="17"/>
      <c r="I183" s="18" t="str">
        <f aca="false">IF(OR(G183="",G183=0),"",H183/G183)</f>
        <v/>
      </c>
      <c r="J183" s="12"/>
    </row>
    <row r="184" customFormat="false" ht="15" hidden="false" customHeight="false" outlineLevel="0" collapsed="false">
      <c r="A184" s="21"/>
      <c r="B184" s="7" t="str">
        <f aca="false">IF(A184="","",INT((A184-DATE(2026,11,2))/7)+1)</f>
        <v/>
      </c>
      <c r="C184" s="17"/>
      <c r="D184" s="17"/>
      <c r="E184" s="17"/>
      <c r="F184" s="17"/>
      <c r="G184" s="17"/>
      <c r="H184" s="17"/>
      <c r="I184" s="18" t="str">
        <f aca="false">IF(OR(G184="",G184=0),"",H184/G184)</f>
        <v/>
      </c>
      <c r="J184" s="12"/>
    </row>
    <row r="185" customFormat="false" ht="15" hidden="false" customHeight="false" outlineLevel="0" collapsed="false">
      <c r="A185" s="21"/>
      <c r="B185" s="7" t="str">
        <f aca="false">IF(A185="","",INT((A185-DATE(2026,11,2))/7)+1)</f>
        <v/>
      </c>
      <c r="C185" s="17"/>
      <c r="D185" s="17"/>
      <c r="E185" s="17"/>
      <c r="F185" s="17"/>
      <c r="G185" s="17"/>
      <c r="H185" s="17"/>
      <c r="I185" s="18" t="str">
        <f aca="false">IF(OR(G185="",G185=0),"",H185/G185)</f>
        <v/>
      </c>
      <c r="J185" s="12"/>
    </row>
    <row r="186" customFormat="false" ht="15" hidden="false" customHeight="false" outlineLevel="0" collapsed="false">
      <c r="A186" s="21"/>
      <c r="B186" s="7" t="str">
        <f aca="false">IF(A186="","",INT((A186-DATE(2026,11,2))/7)+1)</f>
        <v/>
      </c>
      <c r="C186" s="17"/>
      <c r="D186" s="17"/>
      <c r="E186" s="17"/>
      <c r="F186" s="17"/>
      <c r="G186" s="17"/>
      <c r="H186" s="17"/>
      <c r="I186" s="18" t="str">
        <f aca="false">IF(OR(G186="",G186=0),"",H186/G186)</f>
        <v/>
      </c>
      <c r="J186" s="12"/>
    </row>
    <row r="187" customFormat="false" ht="15" hidden="false" customHeight="false" outlineLevel="0" collapsed="false">
      <c r="A187" s="21"/>
      <c r="B187" s="7" t="str">
        <f aca="false">IF(A187="","",INT((A187-DATE(2026,11,2))/7)+1)</f>
        <v/>
      </c>
      <c r="C187" s="17"/>
      <c r="D187" s="17"/>
      <c r="E187" s="17"/>
      <c r="F187" s="17"/>
      <c r="G187" s="17"/>
      <c r="H187" s="17"/>
      <c r="I187" s="18" t="str">
        <f aca="false">IF(OR(G187="",G187=0),"",H187/G187)</f>
        <v/>
      </c>
      <c r="J187" s="12"/>
    </row>
    <row r="188" customFormat="false" ht="15" hidden="false" customHeight="false" outlineLevel="0" collapsed="false">
      <c r="A188" s="21"/>
      <c r="B188" s="7" t="str">
        <f aca="false">IF(A188="","",INT((A188-DATE(2026,11,2))/7)+1)</f>
        <v/>
      </c>
      <c r="C188" s="17"/>
      <c r="D188" s="17"/>
      <c r="E188" s="17"/>
      <c r="F188" s="17"/>
      <c r="G188" s="17"/>
      <c r="H188" s="17"/>
      <c r="I188" s="18" t="str">
        <f aca="false">IF(OR(G188="",G188=0),"",H188/G188)</f>
        <v/>
      </c>
      <c r="J188" s="12"/>
    </row>
    <row r="189" customFormat="false" ht="15" hidden="false" customHeight="false" outlineLevel="0" collapsed="false">
      <c r="A189" s="21"/>
      <c r="B189" s="7" t="str">
        <f aca="false">IF(A189="","",INT((A189-DATE(2026,11,2))/7)+1)</f>
        <v/>
      </c>
      <c r="C189" s="17"/>
      <c r="D189" s="17"/>
      <c r="E189" s="17"/>
      <c r="F189" s="17"/>
      <c r="G189" s="17"/>
      <c r="H189" s="17"/>
      <c r="I189" s="18" t="str">
        <f aca="false">IF(OR(G189="",G189=0),"",H189/G189)</f>
        <v/>
      </c>
      <c r="J189" s="12"/>
    </row>
    <row r="190" customFormat="false" ht="15" hidden="false" customHeight="false" outlineLevel="0" collapsed="false">
      <c r="A190" s="21"/>
      <c r="B190" s="7" t="str">
        <f aca="false">IF(A190="","",INT((A190-DATE(2026,11,2))/7)+1)</f>
        <v/>
      </c>
      <c r="C190" s="17"/>
      <c r="D190" s="17"/>
      <c r="E190" s="17"/>
      <c r="F190" s="17"/>
      <c r="G190" s="17"/>
      <c r="H190" s="17"/>
      <c r="I190" s="18" t="str">
        <f aca="false">IF(OR(G190="",G190=0),"",H190/G190)</f>
        <v/>
      </c>
      <c r="J190" s="12"/>
    </row>
    <row r="191" customFormat="false" ht="15" hidden="false" customHeight="false" outlineLevel="0" collapsed="false">
      <c r="A191" s="21"/>
      <c r="B191" s="7" t="str">
        <f aca="false">IF(A191="","",INT((A191-DATE(2026,11,2))/7)+1)</f>
        <v/>
      </c>
      <c r="C191" s="17"/>
      <c r="D191" s="17"/>
      <c r="E191" s="17"/>
      <c r="F191" s="17"/>
      <c r="G191" s="17"/>
      <c r="H191" s="17"/>
      <c r="I191" s="18" t="str">
        <f aca="false">IF(OR(G191="",G191=0),"",H191/G191)</f>
        <v/>
      </c>
      <c r="J191" s="12"/>
    </row>
    <row r="192" customFormat="false" ht="15" hidden="false" customHeight="false" outlineLevel="0" collapsed="false">
      <c r="A192" s="21"/>
      <c r="B192" s="7" t="str">
        <f aca="false">IF(A192="","",INT((A192-DATE(2026,11,2))/7)+1)</f>
        <v/>
      </c>
      <c r="C192" s="17"/>
      <c r="D192" s="17"/>
      <c r="E192" s="17"/>
      <c r="F192" s="17"/>
      <c r="G192" s="17"/>
      <c r="H192" s="17"/>
      <c r="I192" s="18" t="str">
        <f aca="false">IF(OR(G192="",G192=0),"",H192/G192)</f>
        <v/>
      </c>
      <c r="J192" s="12"/>
    </row>
    <row r="193" customFormat="false" ht="15" hidden="false" customHeight="false" outlineLevel="0" collapsed="false">
      <c r="A193" s="21"/>
      <c r="B193" s="7" t="str">
        <f aca="false">IF(A193="","",INT((A193-DATE(2026,11,2))/7)+1)</f>
        <v/>
      </c>
      <c r="C193" s="17"/>
      <c r="D193" s="17"/>
      <c r="E193" s="17"/>
      <c r="F193" s="17"/>
      <c r="G193" s="17"/>
      <c r="H193" s="17"/>
      <c r="I193" s="18" t="str">
        <f aca="false">IF(OR(G193="",G193=0),"",H193/G193)</f>
        <v/>
      </c>
      <c r="J193" s="12"/>
    </row>
    <row r="194" customFormat="false" ht="15" hidden="false" customHeight="false" outlineLevel="0" collapsed="false">
      <c r="A194" s="21"/>
      <c r="B194" s="7" t="str">
        <f aca="false">IF(A194="","",INT((A194-DATE(2026,11,2))/7)+1)</f>
        <v/>
      </c>
      <c r="C194" s="17"/>
      <c r="D194" s="17"/>
      <c r="E194" s="17"/>
      <c r="F194" s="17"/>
      <c r="G194" s="17"/>
      <c r="H194" s="17"/>
      <c r="I194" s="18" t="str">
        <f aca="false">IF(OR(G194="",G194=0),"",H194/G194)</f>
        <v/>
      </c>
      <c r="J194" s="12"/>
    </row>
    <row r="195" customFormat="false" ht="15" hidden="false" customHeight="false" outlineLevel="0" collapsed="false">
      <c r="A195" s="21"/>
      <c r="B195" s="7" t="str">
        <f aca="false">IF(A195="","",INT((A195-DATE(2026,11,2))/7)+1)</f>
        <v/>
      </c>
      <c r="C195" s="17"/>
      <c r="D195" s="17"/>
      <c r="E195" s="17"/>
      <c r="F195" s="17"/>
      <c r="G195" s="17"/>
      <c r="H195" s="17"/>
      <c r="I195" s="18" t="str">
        <f aca="false">IF(OR(G195="",G195=0),"",H195/G195)</f>
        <v/>
      </c>
      <c r="J195" s="12"/>
    </row>
    <row r="196" customFormat="false" ht="15" hidden="false" customHeight="false" outlineLevel="0" collapsed="false">
      <c r="A196" s="21"/>
      <c r="B196" s="7" t="str">
        <f aca="false">IF(A196="","",INT((A196-DATE(2026,11,2))/7)+1)</f>
        <v/>
      </c>
      <c r="C196" s="17"/>
      <c r="D196" s="17"/>
      <c r="E196" s="17"/>
      <c r="F196" s="17"/>
      <c r="G196" s="17"/>
      <c r="H196" s="17"/>
      <c r="I196" s="18" t="str">
        <f aca="false">IF(OR(G196="",G196=0),"",H196/G196)</f>
        <v/>
      </c>
      <c r="J196" s="12"/>
    </row>
    <row r="197" customFormat="false" ht="15" hidden="false" customHeight="false" outlineLevel="0" collapsed="false">
      <c r="A197" s="21"/>
      <c r="B197" s="7" t="str">
        <f aca="false">IF(A197="","",INT((A197-DATE(2026,11,2))/7)+1)</f>
        <v/>
      </c>
      <c r="C197" s="17"/>
      <c r="D197" s="17"/>
      <c r="E197" s="17"/>
      <c r="F197" s="17"/>
      <c r="G197" s="17"/>
      <c r="H197" s="17"/>
      <c r="I197" s="18" t="str">
        <f aca="false">IF(OR(G197="",G197=0),"",H197/G197)</f>
        <v/>
      </c>
      <c r="J197" s="12"/>
    </row>
    <row r="198" customFormat="false" ht="15" hidden="false" customHeight="false" outlineLevel="0" collapsed="false">
      <c r="A198" s="21"/>
      <c r="B198" s="7" t="str">
        <f aca="false">IF(A198="","",INT((A198-DATE(2026,11,2))/7)+1)</f>
        <v/>
      </c>
      <c r="C198" s="17"/>
      <c r="D198" s="17"/>
      <c r="E198" s="17"/>
      <c r="F198" s="17"/>
      <c r="G198" s="17"/>
      <c r="H198" s="17"/>
      <c r="I198" s="18" t="str">
        <f aca="false">IF(OR(G198="",G198=0),"",H198/G198)</f>
        <v/>
      </c>
      <c r="J198" s="12"/>
    </row>
    <row r="199" customFormat="false" ht="15" hidden="false" customHeight="false" outlineLevel="0" collapsed="false">
      <c r="A199" s="21"/>
      <c r="B199" s="7" t="str">
        <f aca="false">IF(A199="","",INT((A199-DATE(2026,11,2))/7)+1)</f>
        <v/>
      </c>
      <c r="C199" s="17"/>
      <c r="D199" s="17"/>
      <c r="E199" s="17"/>
      <c r="F199" s="17"/>
      <c r="G199" s="17"/>
      <c r="H199" s="17"/>
      <c r="I199" s="18" t="str">
        <f aca="false">IF(OR(G199="",G199=0),"",H199/G199)</f>
        <v/>
      </c>
      <c r="J199" s="12"/>
    </row>
    <row r="200" customFormat="false" ht="15" hidden="false" customHeight="false" outlineLevel="0" collapsed="false">
      <c r="A200" s="21"/>
      <c r="B200" s="7" t="str">
        <f aca="false">IF(A200="","",INT((A200-DATE(2026,11,2))/7)+1)</f>
        <v/>
      </c>
      <c r="C200" s="17"/>
      <c r="D200" s="17"/>
      <c r="E200" s="17"/>
      <c r="F200" s="17"/>
      <c r="G200" s="17"/>
      <c r="H200" s="17"/>
      <c r="I200" s="18" t="str">
        <f aca="false">IF(OR(G200="",G200=0),"",H200/G200)</f>
        <v/>
      </c>
      <c r="J200" s="12"/>
    </row>
    <row r="201" customFormat="false" ht="15" hidden="false" customHeight="false" outlineLevel="0" collapsed="false">
      <c r="A201" s="21"/>
      <c r="B201" s="7" t="str">
        <f aca="false">IF(A201="","",INT((A201-DATE(2026,11,2))/7)+1)</f>
        <v/>
      </c>
      <c r="C201" s="17"/>
      <c r="D201" s="17"/>
      <c r="E201" s="17"/>
      <c r="F201" s="17"/>
      <c r="G201" s="17"/>
      <c r="H201" s="17"/>
      <c r="I201" s="18" t="str">
        <f aca="false">IF(OR(G201="",G201=0),"",H201/G201)</f>
        <v/>
      </c>
      <c r="J201" s="12"/>
    </row>
    <row r="202" customFormat="false" ht="15" hidden="false" customHeight="false" outlineLevel="0" collapsed="false">
      <c r="A202" s="21"/>
      <c r="B202" s="7" t="str">
        <f aca="false">IF(A202="","",INT((A202-DATE(2026,11,2))/7)+1)</f>
        <v/>
      </c>
      <c r="C202" s="17"/>
      <c r="D202" s="17"/>
      <c r="E202" s="17"/>
      <c r="F202" s="17"/>
      <c r="G202" s="17"/>
      <c r="H202" s="17"/>
      <c r="I202" s="18" t="str">
        <f aca="false">IF(OR(G202="",G202=0),"",H202/G202)</f>
        <v/>
      </c>
      <c r="J202" s="12"/>
    </row>
    <row r="203" customFormat="false" ht="15" hidden="false" customHeight="false" outlineLevel="0" collapsed="false">
      <c r="A203" s="21"/>
      <c r="B203" s="7" t="str">
        <f aca="false">IF(A203="","",INT((A203-DATE(2026,11,2))/7)+1)</f>
        <v/>
      </c>
      <c r="C203" s="17"/>
      <c r="D203" s="17"/>
      <c r="E203" s="17"/>
      <c r="F203" s="17"/>
      <c r="G203" s="17"/>
      <c r="H203" s="17"/>
      <c r="I203" s="18" t="str">
        <f aca="false">IF(OR(G203="",G203=0),"",H203/G203)</f>
        <v/>
      </c>
      <c r="J203" s="12"/>
    </row>
    <row r="204" customFormat="false" ht="15" hidden="false" customHeight="false" outlineLevel="0" collapsed="false">
      <c r="A204" s="21"/>
      <c r="B204" s="7" t="str">
        <f aca="false">IF(A204="","",INT((A204-DATE(2026,11,2))/7)+1)</f>
        <v/>
      </c>
      <c r="C204" s="17"/>
      <c r="D204" s="17"/>
      <c r="E204" s="17"/>
      <c r="F204" s="17"/>
      <c r="G204" s="17"/>
      <c r="H204" s="17"/>
      <c r="I204" s="18" t="str">
        <f aca="false">IF(OR(G204="",G204=0),"",H204/G204)</f>
        <v/>
      </c>
      <c r="J204" s="12"/>
    </row>
    <row r="205" customFormat="false" ht="15" hidden="false" customHeight="false" outlineLevel="0" collapsed="false">
      <c r="A205" s="21"/>
      <c r="B205" s="7" t="str">
        <f aca="false">IF(A205="","",INT((A205-DATE(2026,11,2))/7)+1)</f>
        <v/>
      </c>
      <c r="C205" s="17"/>
      <c r="D205" s="17"/>
      <c r="E205" s="17"/>
      <c r="F205" s="17"/>
      <c r="G205" s="17"/>
      <c r="H205" s="17"/>
      <c r="I205" s="18" t="str">
        <f aca="false">IF(OR(G205="",G205=0),"",H205/G205)</f>
        <v/>
      </c>
      <c r="J205" s="12"/>
    </row>
    <row r="206" customFormat="false" ht="15" hidden="false" customHeight="false" outlineLevel="0" collapsed="false">
      <c r="A206" s="21"/>
      <c r="B206" s="7" t="str">
        <f aca="false">IF(A206="","",INT((A206-DATE(2026,11,2))/7)+1)</f>
        <v/>
      </c>
      <c r="C206" s="17"/>
      <c r="D206" s="17"/>
      <c r="E206" s="17"/>
      <c r="F206" s="17"/>
      <c r="G206" s="17"/>
      <c r="H206" s="17"/>
      <c r="I206" s="18" t="str">
        <f aca="false">IF(OR(G206="",G206=0),"",H206/G206)</f>
        <v/>
      </c>
      <c r="J206" s="12"/>
    </row>
    <row r="207" customFormat="false" ht="15" hidden="false" customHeight="false" outlineLevel="0" collapsed="false">
      <c r="A207" s="21"/>
      <c r="B207" s="7" t="str">
        <f aca="false">IF(A207="","",INT((A207-DATE(2026,11,2))/7)+1)</f>
        <v/>
      </c>
      <c r="C207" s="17"/>
      <c r="D207" s="17"/>
      <c r="E207" s="17"/>
      <c r="F207" s="17"/>
      <c r="G207" s="17"/>
      <c r="H207" s="17"/>
      <c r="I207" s="18" t="str">
        <f aca="false">IF(OR(G207="",G207=0),"",H207/G207)</f>
        <v/>
      </c>
      <c r="J207" s="12"/>
    </row>
    <row r="208" customFormat="false" ht="15" hidden="false" customHeight="false" outlineLevel="0" collapsed="false">
      <c r="A208" s="21"/>
      <c r="B208" s="7" t="str">
        <f aca="false">IF(A208="","",INT((A208-DATE(2026,11,2))/7)+1)</f>
        <v/>
      </c>
      <c r="C208" s="17"/>
      <c r="D208" s="17"/>
      <c r="E208" s="17"/>
      <c r="F208" s="17"/>
      <c r="G208" s="17"/>
      <c r="H208" s="17"/>
      <c r="I208" s="18" t="str">
        <f aca="false">IF(OR(G208="",G208=0),"",H208/G208)</f>
        <v/>
      </c>
      <c r="J208" s="12"/>
    </row>
    <row r="209" customFormat="false" ht="15" hidden="false" customHeight="false" outlineLevel="0" collapsed="false">
      <c r="A209" s="21"/>
      <c r="B209" s="7" t="str">
        <f aca="false">IF(A209="","",INT((A209-DATE(2026,11,2))/7)+1)</f>
        <v/>
      </c>
      <c r="C209" s="17"/>
      <c r="D209" s="17"/>
      <c r="E209" s="17"/>
      <c r="F209" s="17"/>
      <c r="G209" s="17"/>
      <c r="H209" s="17"/>
      <c r="I209" s="18" t="str">
        <f aca="false">IF(OR(G209="",G209=0),"",H209/G209)</f>
        <v/>
      </c>
      <c r="J209" s="12"/>
    </row>
    <row r="210" customFormat="false" ht="15" hidden="false" customHeight="false" outlineLevel="0" collapsed="false">
      <c r="A210" s="21"/>
      <c r="B210" s="7" t="str">
        <f aca="false">IF(A210="","",INT((A210-DATE(2026,11,2))/7)+1)</f>
        <v/>
      </c>
      <c r="C210" s="17"/>
      <c r="D210" s="17"/>
      <c r="E210" s="17"/>
      <c r="F210" s="17"/>
      <c r="G210" s="17"/>
      <c r="H210" s="17"/>
      <c r="I210" s="18" t="str">
        <f aca="false">IF(OR(G210="",G210=0),"",H210/G210)</f>
        <v/>
      </c>
      <c r="J210" s="12"/>
    </row>
    <row r="211" customFormat="false" ht="15" hidden="false" customHeight="false" outlineLevel="0" collapsed="false">
      <c r="A211" s="21"/>
      <c r="B211" s="7" t="str">
        <f aca="false">IF(A211="","",INT((A211-DATE(2026,11,2))/7)+1)</f>
        <v/>
      </c>
      <c r="C211" s="17"/>
      <c r="D211" s="17"/>
      <c r="E211" s="17"/>
      <c r="F211" s="17"/>
      <c r="G211" s="17"/>
      <c r="H211" s="17"/>
      <c r="I211" s="18" t="str">
        <f aca="false">IF(OR(G211="",G211=0),"",H211/G211)</f>
        <v/>
      </c>
      <c r="J211" s="12"/>
    </row>
    <row r="212" customFormat="false" ht="15" hidden="false" customHeight="false" outlineLevel="0" collapsed="false">
      <c r="A212" s="21"/>
      <c r="B212" s="7" t="str">
        <f aca="false">IF(A212="","",INT((A212-DATE(2026,11,2))/7)+1)</f>
        <v/>
      </c>
      <c r="C212" s="17"/>
      <c r="D212" s="17"/>
      <c r="E212" s="17"/>
      <c r="F212" s="17"/>
      <c r="G212" s="17"/>
      <c r="H212" s="17"/>
      <c r="I212" s="18" t="str">
        <f aca="false">IF(OR(G212="",G212=0),"",H212/G212)</f>
        <v/>
      </c>
      <c r="J212" s="12"/>
    </row>
    <row r="213" customFormat="false" ht="15" hidden="false" customHeight="false" outlineLevel="0" collapsed="false">
      <c r="A213" s="21"/>
      <c r="B213" s="7" t="str">
        <f aca="false">IF(A213="","",INT((A213-DATE(2026,11,2))/7)+1)</f>
        <v/>
      </c>
      <c r="C213" s="17"/>
      <c r="D213" s="17"/>
      <c r="E213" s="17"/>
      <c r="F213" s="17"/>
      <c r="G213" s="17"/>
      <c r="H213" s="17"/>
      <c r="I213" s="18" t="str">
        <f aca="false">IF(OR(G213="",G213=0),"",H213/G213)</f>
        <v/>
      </c>
      <c r="J213" s="12"/>
    </row>
    <row r="214" customFormat="false" ht="15" hidden="false" customHeight="false" outlineLevel="0" collapsed="false">
      <c r="A214" s="21"/>
      <c r="B214" s="7" t="str">
        <f aca="false">IF(A214="","",INT((A214-DATE(2026,11,2))/7)+1)</f>
        <v/>
      </c>
      <c r="C214" s="17"/>
      <c r="D214" s="17"/>
      <c r="E214" s="17"/>
      <c r="F214" s="17"/>
      <c r="G214" s="17"/>
      <c r="H214" s="17"/>
      <c r="I214" s="18" t="str">
        <f aca="false">IF(OR(G214="",G214=0),"",H214/G214)</f>
        <v/>
      </c>
      <c r="J214" s="12"/>
    </row>
    <row r="215" customFormat="false" ht="15" hidden="false" customHeight="false" outlineLevel="0" collapsed="false">
      <c r="A215" s="21"/>
      <c r="B215" s="7" t="str">
        <f aca="false">IF(A215="","",INT((A215-DATE(2026,11,2))/7)+1)</f>
        <v/>
      </c>
      <c r="C215" s="17"/>
      <c r="D215" s="17"/>
      <c r="E215" s="17"/>
      <c r="F215" s="17"/>
      <c r="G215" s="17"/>
      <c r="H215" s="17"/>
      <c r="I215" s="18" t="str">
        <f aca="false">IF(OR(G215="",G215=0),"",H215/G215)</f>
        <v/>
      </c>
      <c r="J215" s="12"/>
    </row>
    <row r="216" customFormat="false" ht="15" hidden="false" customHeight="false" outlineLevel="0" collapsed="false">
      <c r="A216" s="21"/>
      <c r="B216" s="7" t="str">
        <f aca="false">IF(A216="","",INT((A216-DATE(2026,11,2))/7)+1)</f>
        <v/>
      </c>
      <c r="C216" s="17"/>
      <c r="D216" s="17"/>
      <c r="E216" s="17"/>
      <c r="F216" s="17"/>
      <c r="G216" s="17"/>
      <c r="H216" s="17"/>
      <c r="I216" s="18" t="str">
        <f aca="false">IF(OR(G216="",G216=0),"",H216/G216)</f>
        <v/>
      </c>
      <c r="J216" s="12"/>
    </row>
    <row r="217" customFormat="false" ht="15" hidden="false" customHeight="false" outlineLevel="0" collapsed="false">
      <c r="A217" s="21"/>
      <c r="B217" s="7" t="str">
        <f aca="false">IF(A217="","",INT((A217-DATE(2026,11,2))/7)+1)</f>
        <v/>
      </c>
      <c r="C217" s="17"/>
      <c r="D217" s="17"/>
      <c r="E217" s="17"/>
      <c r="F217" s="17"/>
      <c r="G217" s="17"/>
      <c r="H217" s="17"/>
      <c r="I217" s="18" t="str">
        <f aca="false">IF(OR(G217="",G217=0),"",H217/G217)</f>
        <v/>
      </c>
      <c r="J217" s="12"/>
    </row>
    <row r="218" customFormat="false" ht="15" hidden="false" customHeight="false" outlineLevel="0" collapsed="false">
      <c r="A218" s="21"/>
      <c r="B218" s="7" t="str">
        <f aca="false">IF(A218="","",INT((A218-DATE(2026,11,2))/7)+1)</f>
        <v/>
      </c>
      <c r="C218" s="17"/>
      <c r="D218" s="17"/>
      <c r="E218" s="17"/>
      <c r="F218" s="17"/>
      <c r="G218" s="17"/>
      <c r="H218" s="17"/>
      <c r="I218" s="18" t="str">
        <f aca="false">IF(OR(G218="",G218=0),"",H218/G218)</f>
        <v/>
      </c>
      <c r="J218" s="12"/>
    </row>
    <row r="219" customFormat="false" ht="15" hidden="false" customHeight="false" outlineLevel="0" collapsed="false">
      <c r="A219" s="21"/>
      <c r="B219" s="7" t="str">
        <f aca="false">IF(A219="","",INT((A219-DATE(2026,11,2))/7)+1)</f>
        <v/>
      </c>
      <c r="C219" s="17"/>
      <c r="D219" s="17"/>
      <c r="E219" s="17"/>
      <c r="F219" s="17"/>
      <c r="G219" s="17"/>
      <c r="H219" s="17"/>
      <c r="I219" s="18" t="str">
        <f aca="false">IF(OR(G219="",G219=0),"",H219/G219)</f>
        <v/>
      </c>
      <c r="J219" s="12"/>
    </row>
    <row r="220" customFormat="false" ht="15" hidden="false" customHeight="false" outlineLevel="0" collapsed="false">
      <c r="A220" s="21"/>
      <c r="B220" s="7" t="str">
        <f aca="false">IF(A220="","",INT((A220-DATE(2026,11,2))/7)+1)</f>
        <v/>
      </c>
      <c r="C220" s="17"/>
      <c r="D220" s="17"/>
      <c r="E220" s="17"/>
      <c r="F220" s="17"/>
      <c r="G220" s="17"/>
      <c r="H220" s="17"/>
      <c r="I220" s="18" t="str">
        <f aca="false">IF(OR(G220="",G220=0),"",H220/G220)</f>
        <v/>
      </c>
      <c r="J220" s="12"/>
    </row>
    <row r="221" customFormat="false" ht="15" hidden="false" customHeight="false" outlineLevel="0" collapsed="false">
      <c r="A221" s="21"/>
      <c r="B221" s="7" t="str">
        <f aca="false">IF(A221="","",INT((A221-DATE(2026,11,2))/7)+1)</f>
        <v/>
      </c>
      <c r="C221" s="17"/>
      <c r="D221" s="17"/>
      <c r="E221" s="17"/>
      <c r="F221" s="17"/>
      <c r="G221" s="17"/>
      <c r="H221" s="17"/>
      <c r="I221" s="18" t="str">
        <f aca="false">IF(OR(G221="",G221=0),"",H221/G221)</f>
        <v/>
      </c>
      <c r="J221" s="12"/>
    </row>
    <row r="222" customFormat="false" ht="15" hidden="false" customHeight="false" outlineLevel="0" collapsed="false">
      <c r="A222" s="21"/>
      <c r="B222" s="7" t="str">
        <f aca="false">IF(A222="","",INT((A222-DATE(2026,11,2))/7)+1)</f>
        <v/>
      </c>
      <c r="C222" s="17"/>
      <c r="D222" s="17"/>
      <c r="E222" s="17"/>
      <c r="F222" s="17"/>
      <c r="G222" s="17"/>
      <c r="H222" s="17"/>
      <c r="I222" s="18" t="str">
        <f aca="false">IF(OR(G222="",G222=0),"",H222/G222)</f>
        <v/>
      </c>
      <c r="J222" s="12"/>
    </row>
    <row r="223" customFormat="false" ht="15" hidden="false" customHeight="false" outlineLevel="0" collapsed="false">
      <c r="A223" s="21"/>
      <c r="B223" s="7" t="str">
        <f aca="false">IF(A223="","",INT((A223-DATE(2026,11,2))/7)+1)</f>
        <v/>
      </c>
      <c r="C223" s="17"/>
      <c r="D223" s="17"/>
      <c r="E223" s="17"/>
      <c r="F223" s="17"/>
      <c r="G223" s="17"/>
      <c r="H223" s="17"/>
      <c r="I223" s="18" t="str">
        <f aca="false">IF(OR(G223="",G223=0),"",H223/G223)</f>
        <v/>
      </c>
      <c r="J223" s="12"/>
    </row>
    <row r="224" customFormat="false" ht="15" hidden="false" customHeight="false" outlineLevel="0" collapsed="false">
      <c r="A224" s="21"/>
      <c r="B224" s="7" t="str">
        <f aca="false">IF(A224="","",INT((A224-DATE(2026,11,2))/7)+1)</f>
        <v/>
      </c>
      <c r="C224" s="17"/>
      <c r="D224" s="17"/>
      <c r="E224" s="17"/>
      <c r="F224" s="17"/>
      <c r="G224" s="17"/>
      <c r="H224" s="17"/>
      <c r="I224" s="18" t="str">
        <f aca="false">IF(OR(G224="",G224=0),"",H224/G224)</f>
        <v/>
      </c>
      <c r="J224" s="12"/>
    </row>
    <row r="225" customFormat="false" ht="15" hidden="false" customHeight="false" outlineLevel="0" collapsed="false">
      <c r="A225" s="21"/>
      <c r="B225" s="7" t="str">
        <f aca="false">IF(A225="","",INT((A225-DATE(2026,11,2))/7)+1)</f>
        <v/>
      </c>
      <c r="C225" s="17"/>
      <c r="D225" s="17"/>
      <c r="E225" s="17"/>
      <c r="F225" s="17"/>
      <c r="G225" s="17"/>
      <c r="H225" s="17"/>
      <c r="I225" s="18" t="str">
        <f aca="false">IF(OR(G225="",G225=0),"",H225/G225)</f>
        <v/>
      </c>
      <c r="J225" s="12"/>
    </row>
    <row r="226" customFormat="false" ht="15" hidden="false" customHeight="false" outlineLevel="0" collapsed="false">
      <c r="A226" s="21"/>
      <c r="B226" s="7" t="str">
        <f aca="false">IF(A226="","",INT((A226-DATE(2026,11,2))/7)+1)</f>
        <v/>
      </c>
      <c r="C226" s="17"/>
      <c r="D226" s="17"/>
      <c r="E226" s="17"/>
      <c r="F226" s="17"/>
      <c r="G226" s="17"/>
      <c r="H226" s="17"/>
      <c r="I226" s="18" t="str">
        <f aca="false">IF(OR(G226="",G226=0),"",H226/G226)</f>
        <v/>
      </c>
      <c r="J226" s="12"/>
    </row>
    <row r="227" customFormat="false" ht="15" hidden="false" customHeight="false" outlineLevel="0" collapsed="false">
      <c r="A227" s="21"/>
      <c r="B227" s="7" t="str">
        <f aca="false">IF(A227="","",INT((A227-DATE(2026,11,2))/7)+1)</f>
        <v/>
      </c>
      <c r="C227" s="17"/>
      <c r="D227" s="17"/>
      <c r="E227" s="17"/>
      <c r="F227" s="17"/>
      <c r="G227" s="17"/>
      <c r="H227" s="17"/>
      <c r="I227" s="18" t="str">
        <f aca="false">IF(OR(G227="",G227=0),"",H227/G227)</f>
        <v/>
      </c>
      <c r="J227" s="12"/>
    </row>
    <row r="228" customFormat="false" ht="15" hidden="false" customHeight="false" outlineLevel="0" collapsed="false">
      <c r="A228" s="21"/>
      <c r="B228" s="7" t="str">
        <f aca="false">IF(A228="","",INT((A228-DATE(2026,11,2))/7)+1)</f>
        <v/>
      </c>
      <c r="C228" s="17"/>
      <c r="D228" s="17"/>
      <c r="E228" s="17"/>
      <c r="F228" s="17"/>
      <c r="G228" s="17"/>
      <c r="H228" s="17"/>
      <c r="I228" s="18" t="str">
        <f aca="false">IF(OR(G228="",G228=0),"",H228/G228)</f>
        <v/>
      </c>
      <c r="J228" s="12"/>
    </row>
    <row r="229" customFormat="false" ht="15" hidden="false" customHeight="false" outlineLevel="0" collapsed="false">
      <c r="A229" s="21"/>
      <c r="B229" s="7" t="str">
        <f aca="false">IF(A229="","",INT((A229-DATE(2026,11,2))/7)+1)</f>
        <v/>
      </c>
      <c r="C229" s="17"/>
      <c r="D229" s="17"/>
      <c r="E229" s="17"/>
      <c r="F229" s="17"/>
      <c r="G229" s="17"/>
      <c r="H229" s="17"/>
      <c r="I229" s="18" t="str">
        <f aca="false">IF(OR(G229="",G229=0),"",H229/G229)</f>
        <v/>
      </c>
      <c r="J229" s="12"/>
    </row>
    <row r="230" customFormat="false" ht="15" hidden="false" customHeight="false" outlineLevel="0" collapsed="false">
      <c r="A230" s="21"/>
      <c r="B230" s="7" t="str">
        <f aca="false">IF(A230="","",INT((A230-DATE(2026,11,2))/7)+1)</f>
        <v/>
      </c>
      <c r="C230" s="17"/>
      <c r="D230" s="17"/>
      <c r="E230" s="17"/>
      <c r="F230" s="17"/>
      <c r="G230" s="17"/>
      <c r="H230" s="17"/>
      <c r="I230" s="18" t="str">
        <f aca="false">IF(OR(G230="",G230=0),"",H230/G230)</f>
        <v/>
      </c>
      <c r="J230" s="12"/>
    </row>
    <row r="231" customFormat="false" ht="15" hidden="false" customHeight="false" outlineLevel="0" collapsed="false">
      <c r="A231" s="21"/>
      <c r="B231" s="7" t="str">
        <f aca="false">IF(A231="","",INT((A231-DATE(2026,11,2))/7)+1)</f>
        <v/>
      </c>
      <c r="C231" s="17"/>
      <c r="D231" s="17"/>
      <c r="E231" s="17"/>
      <c r="F231" s="17"/>
      <c r="G231" s="17"/>
      <c r="H231" s="17"/>
      <c r="I231" s="18" t="str">
        <f aca="false">IF(OR(G231="",G231=0),"",H231/G231)</f>
        <v/>
      </c>
      <c r="J231" s="12"/>
    </row>
    <row r="232" customFormat="false" ht="15" hidden="false" customHeight="false" outlineLevel="0" collapsed="false">
      <c r="A232" s="21"/>
      <c r="B232" s="7" t="str">
        <f aca="false">IF(A232="","",INT((A232-DATE(2026,11,2))/7)+1)</f>
        <v/>
      </c>
      <c r="C232" s="17"/>
      <c r="D232" s="17"/>
      <c r="E232" s="17"/>
      <c r="F232" s="17"/>
      <c r="G232" s="17"/>
      <c r="H232" s="17"/>
      <c r="I232" s="18" t="str">
        <f aca="false">IF(OR(G232="",G232=0),"",H232/G232)</f>
        <v/>
      </c>
      <c r="J232" s="12"/>
    </row>
    <row r="233" customFormat="false" ht="15" hidden="false" customHeight="false" outlineLevel="0" collapsed="false">
      <c r="A233" s="21"/>
      <c r="B233" s="7" t="str">
        <f aca="false">IF(A233="","",INT((A233-DATE(2026,11,2))/7)+1)</f>
        <v/>
      </c>
      <c r="C233" s="17"/>
      <c r="D233" s="17"/>
      <c r="E233" s="17"/>
      <c r="F233" s="17"/>
      <c r="G233" s="17"/>
      <c r="H233" s="17"/>
      <c r="I233" s="18" t="str">
        <f aca="false">IF(OR(G233="",G233=0),"",H233/G233)</f>
        <v/>
      </c>
      <c r="J233" s="12"/>
    </row>
    <row r="234" customFormat="false" ht="15" hidden="false" customHeight="false" outlineLevel="0" collapsed="false">
      <c r="A234" s="21"/>
      <c r="B234" s="7" t="str">
        <f aca="false">IF(A234="","",INT((A234-DATE(2026,11,2))/7)+1)</f>
        <v/>
      </c>
      <c r="C234" s="17"/>
      <c r="D234" s="17"/>
      <c r="E234" s="17"/>
      <c r="F234" s="17"/>
      <c r="G234" s="17"/>
      <c r="H234" s="17"/>
      <c r="I234" s="18" t="str">
        <f aca="false">IF(OR(G234="",G234=0),"",H234/G234)</f>
        <v/>
      </c>
      <c r="J234" s="12"/>
    </row>
    <row r="235" customFormat="false" ht="15" hidden="false" customHeight="false" outlineLevel="0" collapsed="false">
      <c r="A235" s="21"/>
      <c r="B235" s="7" t="str">
        <f aca="false">IF(A235="","",INT((A235-DATE(2026,11,2))/7)+1)</f>
        <v/>
      </c>
      <c r="C235" s="17"/>
      <c r="D235" s="17"/>
      <c r="E235" s="17"/>
      <c r="F235" s="17"/>
      <c r="G235" s="17"/>
      <c r="H235" s="17"/>
      <c r="I235" s="18" t="str">
        <f aca="false">IF(OR(G235="",G235=0),"",H235/G235)</f>
        <v/>
      </c>
      <c r="J235" s="12"/>
    </row>
    <row r="236" customFormat="false" ht="15" hidden="false" customHeight="false" outlineLevel="0" collapsed="false">
      <c r="A236" s="21"/>
      <c r="B236" s="7" t="str">
        <f aca="false">IF(A236="","",INT((A236-DATE(2026,11,2))/7)+1)</f>
        <v/>
      </c>
      <c r="C236" s="17"/>
      <c r="D236" s="17"/>
      <c r="E236" s="17"/>
      <c r="F236" s="17"/>
      <c r="G236" s="17"/>
      <c r="H236" s="17"/>
      <c r="I236" s="18" t="str">
        <f aca="false">IF(OR(G236="",G236=0),"",H236/G236)</f>
        <v/>
      </c>
      <c r="J236" s="12"/>
    </row>
    <row r="237" customFormat="false" ht="15" hidden="false" customHeight="false" outlineLevel="0" collapsed="false">
      <c r="A237" s="21"/>
      <c r="B237" s="7" t="str">
        <f aca="false">IF(A237="","",INT((A237-DATE(2026,11,2))/7)+1)</f>
        <v/>
      </c>
      <c r="C237" s="17"/>
      <c r="D237" s="17"/>
      <c r="E237" s="17"/>
      <c r="F237" s="17"/>
      <c r="G237" s="17"/>
      <c r="H237" s="17"/>
      <c r="I237" s="18" t="str">
        <f aca="false">IF(OR(G237="",G237=0),"",H237/G237)</f>
        <v/>
      </c>
      <c r="J237" s="12"/>
    </row>
    <row r="238" customFormat="false" ht="15" hidden="false" customHeight="false" outlineLevel="0" collapsed="false">
      <c r="A238" s="21"/>
      <c r="B238" s="7" t="str">
        <f aca="false">IF(A238="","",INT((A238-DATE(2026,11,2))/7)+1)</f>
        <v/>
      </c>
      <c r="C238" s="17"/>
      <c r="D238" s="17"/>
      <c r="E238" s="17"/>
      <c r="F238" s="17"/>
      <c r="G238" s="17"/>
      <c r="H238" s="17"/>
      <c r="I238" s="18" t="str">
        <f aca="false">IF(OR(G238="",G238=0),"",H238/G238)</f>
        <v/>
      </c>
      <c r="J238" s="12"/>
    </row>
    <row r="239" customFormat="false" ht="15" hidden="false" customHeight="false" outlineLevel="0" collapsed="false">
      <c r="A239" s="21"/>
      <c r="B239" s="7" t="str">
        <f aca="false">IF(A239="","",INT((A239-DATE(2026,11,2))/7)+1)</f>
        <v/>
      </c>
      <c r="C239" s="17"/>
      <c r="D239" s="17"/>
      <c r="E239" s="17"/>
      <c r="F239" s="17"/>
      <c r="G239" s="17"/>
      <c r="H239" s="17"/>
      <c r="I239" s="18" t="str">
        <f aca="false">IF(OR(G239="",G239=0),"",H239/G239)</f>
        <v/>
      </c>
      <c r="J239" s="12"/>
    </row>
    <row r="240" customFormat="false" ht="15" hidden="false" customHeight="false" outlineLevel="0" collapsed="false">
      <c r="A240" s="21"/>
      <c r="B240" s="7" t="str">
        <f aca="false">IF(A240="","",INT((A240-DATE(2026,11,2))/7)+1)</f>
        <v/>
      </c>
      <c r="C240" s="17"/>
      <c r="D240" s="17"/>
      <c r="E240" s="17"/>
      <c r="F240" s="17"/>
      <c r="G240" s="17"/>
      <c r="H240" s="17"/>
      <c r="I240" s="18" t="str">
        <f aca="false">IF(OR(G240="",G240=0),"",H240/G240)</f>
        <v/>
      </c>
      <c r="J240" s="12"/>
    </row>
    <row r="241" customFormat="false" ht="15" hidden="false" customHeight="false" outlineLevel="0" collapsed="false">
      <c r="A241" s="21"/>
      <c r="B241" s="7" t="str">
        <f aca="false">IF(A241="","",INT((A241-DATE(2026,11,2))/7)+1)</f>
        <v/>
      </c>
      <c r="C241" s="17"/>
      <c r="D241" s="17"/>
      <c r="E241" s="17"/>
      <c r="F241" s="17"/>
      <c r="G241" s="17"/>
      <c r="H241" s="17"/>
      <c r="I241" s="18" t="str">
        <f aca="false">IF(OR(G241="",G241=0),"",H241/G241)</f>
        <v/>
      </c>
      <c r="J241" s="12"/>
    </row>
    <row r="242" customFormat="false" ht="15" hidden="false" customHeight="false" outlineLevel="0" collapsed="false">
      <c r="A242" s="21"/>
      <c r="B242" s="7" t="str">
        <f aca="false">IF(A242="","",INT((A242-DATE(2026,11,2))/7)+1)</f>
        <v/>
      </c>
      <c r="C242" s="17"/>
      <c r="D242" s="17"/>
      <c r="E242" s="17"/>
      <c r="F242" s="17"/>
      <c r="G242" s="17"/>
      <c r="H242" s="17"/>
      <c r="I242" s="18" t="str">
        <f aca="false">IF(OR(G242="",G242=0),"",H242/G242)</f>
        <v/>
      </c>
      <c r="J242" s="12"/>
    </row>
    <row r="243" customFormat="false" ht="15" hidden="false" customHeight="false" outlineLevel="0" collapsed="false">
      <c r="A243" s="21"/>
      <c r="B243" s="7" t="str">
        <f aca="false">IF(A243="","",INT((A243-DATE(2026,11,2))/7)+1)</f>
        <v/>
      </c>
      <c r="C243" s="17"/>
      <c r="D243" s="17"/>
      <c r="E243" s="17"/>
      <c r="F243" s="17"/>
      <c r="G243" s="17"/>
      <c r="H243" s="17"/>
      <c r="I243" s="18" t="str">
        <f aca="false">IF(OR(G243="",G243=0),"",H243/G243)</f>
        <v/>
      </c>
      <c r="J243" s="12"/>
    </row>
    <row r="244" customFormat="false" ht="15" hidden="false" customHeight="false" outlineLevel="0" collapsed="false">
      <c r="A244" s="21"/>
      <c r="B244" s="7" t="str">
        <f aca="false">IF(A244="","",INT((A244-DATE(2026,11,2))/7)+1)</f>
        <v/>
      </c>
      <c r="C244" s="17"/>
      <c r="D244" s="17"/>
      <c r="E244" s="17"/>
      <c r="F244" s="17"/>
      <c r="G244" s="17"/>
      <c r="H244" s="17"/>
      <c r="I244" s="18" t="str">
        <f aca="false">IF(OR(G244="",G244=0),"",H244/G244)</f>
        <v/>
      </c>
      <c r="J244" s="12"/>
    </row>
    <row r="245" customFormat="false" ht="15" hidden="false" customHeight="false" outlineLevel="0" collapsed="false">
      <c r="A245" s="21"/>
      <c r="B245" s="7" t="str">
        <f aca="false">IF(A245="","",INT((A245-DATE(2026,11,2))/7)+1)</f>
        <v/>
      </c>
      <c r="C245" s="17"/>
      <c r="D245" s="17"/>
      <c r="E245" s="17"/>
      <c r="F245" s="17"/>
      <c r="G245" s="17"/>
      <c r="H245" s="17"/>
      <c r="I245" s="18" t="str">
        <f aca="false">IF(OR(G245="",G245=0),"",H245/G245)</f>
        <v/>
      </c>
      <c r="J245" s="12"/>
    </row>
    <row r="246" customFormat="false" ht="15" hidden="false" customHeight="false" outlineLevel="0" collapsed="false">
      <c r="A246" s="21"/>
      <c r="B246" s="7" t="str">
        <f aca="false">IF(A246="","",INT((A246-DATE(2026,11,2))/7)+1)</f>
        <v/>
      </c>
      <c r="C246" s="17"/>
      <c r="D246" s="17"/>
      <c r="E246" s="17"/>
      <c r="F246" s="17"/>
      <c r="G246" s="17"/>
      <c r="H246" s="17"/>
      <c r="I246" s="18" t="str">
        <f aca="false">IF(OR(G246="",G246=0),"",H246/G246)</f>
        <v/>
      </c>
      <c r="J246" s="12"/>
    </row>
    <row r="247" customFormat="false" ht="15" hidden="false" customHeight="false" outlineLevel="0" collapsed="false">
      <c r="A247" s="21"/>
      <c r="B247" s="7" t="str">
        <f aca="false">IF(A247="","",INT((A247-DATE(2026,11,2))/7)+1)</f>
        <v/>
      </c>
      <c r="C247" s="17"/>
      <c r="D247" s="17"/>
      <c r="E247" s="17"/>
      <c r="F247" s="17"/>
      <c r="G247" s="17"/>
      <c r="H247" s="17"/>
      <c r="I247" s="18" t="str">
        <f aca="false">IF(OR(G247="",G247=0),"",H247/G247)</f>
        <v/>
      </c>
      <c r="J247" s="12"/>
    </row>
    <row r="248" customFormat="false" ht="15" hidden="false" customHeight="false" outlineLevel="0" collapsed="false">
      <c r="A248" s="21"/>
      <c r="B248" s="7" t="str">
        <f aca="false">IF(A248="","",INT((A248-DATE(2026,11,2))/7)+1)</f>
        <v/>
      </c>
      <c r="C248" s="17"/>
      <c r="D248" s="17"/>
      <c r="E248" s="17"/>
      <c r="F248" s="17"/>
      <c r="G248" s="17"/>
      <c r="H248" s="17"/>
      <c r="I248" s="18" t="str">
        <f aca="false">IF(OR(G248="",G248=0),"",H248/G248)</f>
        <v/>
      </c>
      <c r="J248" s="12"/>
    </row>
    <row r="249" customFormat="false" ht="15" hidden="false" customHeight="false" outlineLevel="0" collapsed="false">
      <c r="A249" s="21"/>
      <c r="B249" s="7" t="str">
        <f aca="false">IF(A249="","",INT((A249-DATE(2026,11,2))/7)+1)</f>
        <v/>
      </c>
      <c r="C249" s="17"/>
      <c r="D249" s="17"/>
      <c r="E249" s="17"/>
      <c r="F249" s="17"/>
      <c r="G249" s="17"/>
      <c r="H249" s="17"/>
      <c r="I249" s="18" t="str">
        <f aca="false">IF(OR(G249="",G249=0),"",H249/G249)</f>
        <v/>
      </c>
      <c r="J249" s="12"/>
    </row>
    <row r="250" customFormat="false" ht="15" hidden="false" customHeight="false" outlineLevel="0" collapsed="false">
      <c r="A250" s="21"/>
      <c r="B250" s="7" t="str">
        <f aca="false">IF(A250="","",INT((A250-DATE(2026,11,2))/7)+1)</f>
        <v/>
      </c>
      <c r="C250" s="17"/>
      <c r="D250" s="17"/>
      <c r="E250" s="17"/>
      <c r="F250" s="17"/>
      <c r="G250" s="17"/>
      <c r="H250" s="17"/>
      <c r="I250" s="18" t="str">
        <f aca="false">IF(OR(G250="",G250=0),"",H250/G250)</f>
        <v/>
      </c>
      <c r="J250" s="12"/>
    </row>
    <row r="251" customFormat="false" ht="15" hidden="false" customHeight="false" outlineLevel="0" collapsed="false">
      <c r="A251" s="21"/>
      <c r="B251" s="7" t="str">
        <f aca="false">IF(A251="","",INT((A251-DATE(2026,11,2))/7)+1)</f>
        <v/>
      </c>
      <c r="C251" s="17"/>
      <c r="D251" s="17"/>
      <c r="E251" s="17"/>
      <c r="F251" s="17"/>
      <c r="G251" s="17"/>
      <c r="H251" s="17"/>
      <c r="I251" s="18" t="str">
        <f aca="false">IF(OR(G251="",G251=0),"",H251/G251)</f>
        <v/>
      </c>
      <c r="J251" s="12"/>
    </row>
    <row r="252" customFormat="false" ht="15" hidden="false" customHeight="false" outlineLevel="0" collapsed="false">
      <c r="A252" s="21"/>
      <c r="B252" s="7" t="str">
        <f aca="false">IF(A252="","",INT((A252-DATE(2026,11,2))/7)+1)</f>
        <v/>
      </c>
      <c r="C252" s="17"/>
      <c r="D252" s="17"/>
      <c r="E252" s="17"/>
      <c r="F252" s="17"/>
      <c r="G252" s="17"/>
      <c r="H252" s="17"/>
      <c r="I252" s="18" t="str">
        <f aca="false">IF(OR(G252="",G252=0),"",H252/G252)</f>
        <v/>
      </c>
      <c r="J252" s="12"/>
    </row>
    <row r="253" customFormat="false" ht="15" hidden="false" customHeight="false" outlineLevel="0" collapsed="false">
      <c r="A253" s="21"/>
      <c r="B253" s="7" t="str">
        <f aca="false">IF(A253="","",INT((A253-DATE(2026,11,2))/7)+1)</f>
        <v/>
      </c>
      <c r="C253" s="17"/>
      <c r="D253" s="17"/>
      <c r="E253" s="17"/>
      <c r="F253" s="17"/>
      <c r="G253" s="17"/>
      <c r="H253" s="17"/>
      <c r="I253" s="18" t="str">
        <f aca="false">IF(OR(G253="",G253=0),"",H253/G253)</f>
        <v/>
      </c>
      <c r="J253" s="12"/>
    </row>
    <row r="254" customFormat="false" ht="15" hidden="false" customHeight="false" outlineLevel="0" collapsed="false">
      <c r="A254" s="21"/>
      <c r="B254" s="7" t="str">
        <f aca="false">IF(A254="","",INT((A254-DATE(2026,11,2))/7)+1)</f>
        <v/>
      </c>
      <c r="C254" s="17"/>
      <c r="D254" s="17"/>
      <c r="E254" s="17"/>
      <c r="F254" s="17"/>
      <c r="G254" s="17"/>
      <c r="H254" s="17"/>
      <c r="I254" s="18" t="str">
        <f aca="false">IF(OR(G254="",G254=0),"",H254/G254)</f>
        <v/>
      </c>
      <c r="J254" s="12"/>
    </row>
    <row r="255" customFormat="false" ht="15" hidden="false" customHeight="false" outlineLevel="0" collapsed="false">
      <c r="A255" s="21"/>
      <c r="B255" s="7" t="str">
        <f aca="false">IF(A255="","",INT((A255-DATE(2026,11,2))/7)+1)</f>
        <v/>
      </c>
      <c r="C255" s="17"/>
      <c r="D255" s="17"/>
      <c r="E255" s="17"/>
      <c r="F255" s="17"/>
      <c r="G255" s="17"/>
      <c r="H255" s="17"/>
      <c r="I255" s="18" t="str">
        <f aca="false">IF(OR(G255="",G255=0),"",H255/G255)</f>
        <v/>
      </c>
      <c r="J255" s="12"/>
    </row>
    <row r="256" customFormat="false" ht="15" hidden="false" customHeight="false" outlineLevel="0" collapsed="false">
      <c r="A256" s="21"/>
      <c r="B256" s="7" t="str">
        <f aca="false">IF(A256="","",INT((A256-DATE(2026,11,2))/7)+1)</f>
        <v/>
      </c>
      <c r="C256" s="17"/>
      <c r="D256" s="17"/>
      <c r="E256" s="17"/>
      <c r="F256" s="17"/>
      <c r="G256" s="17"/>
      <c r="H256" s="17"/>
      <c r="I256" s="18" t="str">
        <f aca="false">IF(OR(G256="",G256=0),"",H256/G256)</f>
        <v/>
      </c>
      <c r="J256" s="12"/>
    </row>
    <row r="257" customFormat="false" ht="15" hidden="false" customHeight="false" outlineLevel="0" collapsed="false">
      <c r="A257" s="21"/>
      <c r="B257" s="7" t="str">
        <f aca="false">IF(A257="","",INT((A257-DATE(2026,11,2))/7)+1)</f>
        <v/>
      </c>
      <c r="C257" s="17"/>
      <c r="D257" s="17"/>
      <c r="E257" s="17"/>
      <c r="F257" s="17"/>
      <c r="G257" s="17"/>
      <c r="H257" s="17"/>
      <c r="I257" s="18" t="str">
        <f aca="false">IF(OR(G257="",G257=0),"",H257/G257)</f>
        <v/>
      </c>
      <c r="J257" s="12"/>
    </row>
    <row r="258" customFormat="false" ht="15" hidden="false" customHeight="false" outlineLevel="0" collapsed="false">
      <c r="A258" s="21"/>
      <c r="B258" s="7" t="str">
        <f aca="false">IF(A258="","",INT((A258-DATE(2026,11,2))/7)+1)</f>
        <v/>
      </c>
      <c r="C258" s="17"/>
      <c r="D258" s="17"/>
      <c r="E258" s="17"/>
      <c r="F258" s="17"/>
      <c r="G258" s="17"/>
      <c r="H258" s="17"/>
      <c r="I258" s="18" t="str">
        <f aca="false">IF(OR(G258="",G258=0),"",H258/G258)</f>
        <v/>
      </c>
      <c r="J258" s="12"/>
    </row>
    <row r="259" customFormat="false" ht="15" hidden="false" customHeight="false" outlineLevel="0" collapsed="false">
      <c r="A259" s="21"/>
      <c r="B259" s="7" t="str">
        <f aca="false">IF(A259="","",INT((A259-DATE(2026,11,2))/7)+1)</f>
        <v/>
      </c>
      <c r="C259" s="17"/>
      <c r="D259" s="17"/>
      <c r="E259" s="17"/>
      <c r="F259" s="17"/>
      <c r="G259" s="17"/>
      <c r="H259" s="17"/>
      <c r="I259" s="18" t="str">
        <f aca="false">IF(OR(G259="",G259=0),"",H259/G259)</f>
        <v/>
      </c>
      <c r="J259" s="12"/>
    </row>
    <row r="260" customFormat="false" ht="15" hidden="false" customHeight="false" outlineLevel="0" collapsed="false">
      <c r="A260" s="21"/>
      <c r="B260" s="7" t="str">
        <f aca="false">IF(A260="","",INT((A260-DATE(2026,11,2))/7)+1)</f>
        <v/>
      </c>
      <c r="C260" s="17"/>
      <c r="D260" s="17"/>
      <c r="E260" s="17"/>
      <c r="F260" s="17"/>
      <c r="G260" s="17"/>
      <c r="H260" s="17"/>
      <c r="I260" s="18" t="str">
        <f aca="false">IF(OR(G260="",G260=0),"",H260/G260)</f>
        <v/>
      </c>
      <c r="J260" s="12"/>
    </row>
    <row r="261" customFormat="false" ht="15" hidden="false" customHeight="false" outlineLevel="0" collapsed="false">
      <c r="A261" s="21"/>
      <c r="B261" s="7" t="str">
        <f aca="false">IF(A261="","",INT((A261-DATE(2026,11,2))/7)+1)</f>
        <v/>
      </c>
      <c r="C261" s="17"/>
      <c r="D261" s="17"/>
      <c r="E261" s="17"/>
      <c r="F261" s="17"/>
      <c r="G261" s="17"/>
      <c r="H261" s="17"/>
      <c r="I261" s="18" t="str">
        <f aca="false">IF(OR(G261="",G261=0),"",H261/G261)</f>
        <v/>
      </c>
      <c r="J261" s="12"/>
    </row>
    <row r="262" customFormat="false" ht="15" hidden="false" customHeight="false" outlineLevel="0" collapsed="false">
      <c r="A262" s="21"/>
      <c r="B262" s="7" t="str">
        <f aca="false">IF(A262="","",INT((A262-DATE(2026,11,2))/7)+1)</f>
        <v/>
      </c>
      <c r="C262" s="17"/>
      <c r="D262" s="17"/>
      <c r="E262" s="17"/>
      <c r="F262" s="17"/>
      <c r="G262" s="17"/>
      <c r="H262" s="17"/>
      <c r="I262" s="18" t="str">
        <f aca="false">IF(OR(G262="",G262=0),"",H262/G262)</f>
        <v/>
      </c>
      <c r="J262" s="12"/>
    </row>
    <row r="263" customFormat="false" ht="15" hidden="false" customHeight="false" outlineLevel="0" collapsed="false">
      <c r="A263" s="21"/>
      <c r="B263" s="7" t="str">
        <f aca="false">IF(A263="","",INT((A263-DATE(2026,11,2))/7)+1)</f>
        <v/>
      </c>
      <c r="C263" s="17"/>
      <c r="D263" s="17"/>
      <c r="E263" s="17"/>
      <c r="F263" s="17"/>
      <c r="G263" s="17"/>
      <c r="H263" s="17"/>
      <c r="I263" s="18" t="str">
        <f aca="false">IF(OR(G263="",G263=0),"",H263/G263)</f>
        <v/>
      </c>
      <c r="J263" s="12"/>
    </row>
    <row r="264" customFormat="false" ht="15" hidden="false" customHeight="false" outlineLevel="0" collapsed="false">
      <c r="A264" s="21"/>
      <c r="B264" s="7" t="str">
        <f aca="false">IF(A264="","",INT((A264-DATE(2026,11,2))/7)+1)</f>
        <v/>
      </c>
      <c r="C264" s="17"/>
      <c r="D264" s="17"/>
      <c r="E264" s="17"/>
      <c r="F264" s="17"/>
      <c r="G264" s="17"/>
      <c r="H264" s="17"/>
      <c r="I264" s="18" t="str">
        <f aca="false">IF(OR(G264="",G264=0),"",H264/G264)</f>
        <v/>
      </c>
      <c r="J264" s="12"/>
    </row>
    <row r="265" customFormat="false" ht="15" hidden="false" customHeight="false" outlineLevel="0" collapsed="false">
      <c r="A265" s="21"/>
      <c r="B265" s="7" t="str">
        <f aca="false">IF(A265="","",INT((A265-DATE(2026,11,2))/7)+1)</f>
        <v/>
      </c>
      <c r="C265" s="17"/>
      <c r="D265" s="17"/>
      <c r="E265" s="17"/>
      <c r="F265" s="17"/>
      <c r="G265" s="17"/>
      <c r="H265" s="17"/>
      <c r="I265" s="18" t="str">
        <f aca="false">IF(OR(G265="",G265=0),"",H265/G265)</f>
        <v/>
      </c>
      <c r="J265" s="12"/>
    </row>
    <row r="266" customFormat="false" ht="15" hidden="false" customHeight="false" outlineLevel="0" collapsed="false">
      <c r="A266" s="21"/>
      <c r="B266" s="7" t="str">
        <f aca="false">IF(A266="","",INT((A266-DATE(2026,11,2))/7)+1)</f>
        <v/>
      </c>
      <c r="C266" s="17"/>
      <c r="D266" s="17"/>
      <c r="E266" s="17"/>
      <c r="F266" s="17"/>
      <c r="G266" s="17"/>
      <c r="H266" s="17"/>
      <c r="I266" s="18" t="str">
        <f aca="false">IF(OR(G266="",G266=0),"",H266/G266)</f>
        <v/>
      </c>
      <c r="J266" s="12"/>
    </row>
    <row r="267" customFormat="false" ht="15" hidden="false" customHeight="false" outlineLevel="0" collapsed="false">
      <c r="A267" s="21"/>
      <c r="B267" s="7" t="str">
        <f aca="false">IF(A267="","",INT((A267-DATE(2026,11,2))/7)+1)</f>
        <v/>
      </c>
      <c r="C267" s="17"/>
      <c r="D267" s="17"/>
      <c r="E267" s="17"/>
      <c r="F267" s="17"/>
      <c r="G267" s="17"/>
      <c r="H267" s="17"/>
      <c r="I267" s="18" t="str">
        <f aca="false">IF(OR(G267="",G267=0),"",H267/G267)</f>
        <v/>
      </c>
      <c r="J267" s="12"/>
    </row>
    <row r="268" customFormat="false" ht="15" hidden="false" customHeight="false" outlineLevel="0" collapsed="false">
      <c r="A268" s="21"/>
      <c r="B268" s="7" t="str">
        <f aca="false">IF(A268="","",INT((A268-DATE(2026,11,2))/7)+1)</f>
        <v/>
      </c>
      <c r="C268" s="17"/>
      <c r="D268" s="17"/>
      <c r="E268" s="17"/>
      <c r="F268" s="17"/>
      <c r="G268" s="17"/>
      <c r="H268" s="17"/>
      <c r="I268" s="18" t="str">
        <f aca="false">IF(OR(G268="",G268=0),"",H268/G268)</f>
        <v/>
      </c>
      <c r="J268" s="12"/>
    </row>
    <row r="269" customFormat="false" ht="15" hidden="false" customHeight="false" outlineLevel="0" collapsed="false">
      <c r="A269" s="21"/>
      <c r="B269" s="7" t="str">
        <f aca="false">IF(A269="","",INT((A269-DATE(2026,11,2))/7)+1)</f>
        <v/>
      </c>
      <c r="C269" s="17"/>
      <c r="D269" s="17"/>
      <c r="E269" s="17"/>
      <c r="F269" s="17"/>
      <c r="G269" s="17"/>
      <c r="H269" s="17"/>
      <c r="I269" s="18" t="str">
        <f aca="false">IF(OR(G269="",G269=0),"",H269/G269)</f>
        <v/>
      </c>
      <c r="J269" s="12"/>
    </row>
    <row r="270" customFormat="false" ht="15" hidden="false" customHeight="false" outlineLevel="0" collapsed="false">
      <c r="A270" s="21"/>
      <c r="B270" s="7" t="str">
        <f aca="false">IF(A270="","",INT((A270-DATE(2026,11,2))/7)+1)</f>
        <v/>
      </c>
      <c r="C270" s="17"/>
      <c r="D270" s="17"/>
      <c r="E270" s="17"/>
      <c r="F270" s="17"/>
      <c r="G270" s="17"/>
      <c r="H270" s="17"/>
      <c r="I270" s="18" t="str">
        <f aca="false">IF(OR(G270="",G270=0),"",H270/G270)</f>
        <v/>
      </c>
      <c r="J270" s="12"/>
    </row>
    <row r="271" customFormat="false" ht="15" hidden="false" customHeight="false" outlineLevel="0" collapsed="false">
      <c r="A271" s="21"/>
      <c r="B271" s="7" t="str">
        <f aca="false">IF(A271="","",INT((A271-DATE(2026,11,2))/7)+1)</f>
        <v/>
      </c>
      <c r="C271" s="17"/>
      <c r="D271" s="17"/>
      <c r="E271" s="17"/>
      <c r="F271" s="17"/>
      <c r="G271" s="17"/>
      <c r="H271" s="17"/>
      <c r="I271" s="18" t="str">
        <f aca="false">IF(OR(G271="",G271=0),"",H271/G271)</f>
        <v/>
      </c>
      <c r="J271" s="12"/>
    </row>
    <row r="272" customFormat="false" ht="15" hidden="false" customHeight="false" outlineLevel="0" collapsed="false">
      <c r="A272" s="21"/>
      <c r="B272" s="7" t="str">
        <f aca="false">IF(A272="","",INT((A272-DATE(2026,11,2))/7)+1)</f>
        <v/>
      </c>
      <c r="C272" s="17"/>
      <c r="D272" s="17"/>
      <c r="E272" s="17"/>
      <c r="F272" s="17"/>
      <c r="G272" s="17"/>
      <c r="H272" s="17"/>
      <c r="I272" s="18" t="str">
        <f aca="false">IF(OR(G272="",G272=0),"",H272/G272)</f>
        <v/>
      </c>
      <c r="J272" s="12"/>
    </row>
    <row r="273" customFormat="false" ht="15" hidden="false" customHeight="false" outlineLevel="0" collapsed="false">
      <c r="A273" s="21"/>
      <c r="B273" s="7" t="str">
        <f aca="false">IF(A273="","",INT((A273-DATE(2026,11,2))/7)+1)</f>
        <v/>
      </c>
      <c r="C273" s="17"/>
      <c r="D273" s="17"/>
      <c r="E273" s="17"/>
      <c r="F273" s="17"/>
      <c r="G273" s="17"/>
      <c r="H273" s="17"/>
      <c r="I273" s="18" t="str">
        <f aca="false">IF(OR(G273="",G273=0),"",H273/G273)</f>
        <v/>
      </c>
      <c r="J273" s="12"/>
    </row>
    <row r="274" customFormat="false" ht="15" hidden="false" customHeight="false" outlineLevel="0" collapsed="false">
      <c r="A274" s="21"/>
      <c r="B274" s="7" t="str">
        <f aca="false">IF(A274="","",INT((A274-DATE(2026,11,2))/7)+1)</f>
        <v/>
      </c>
      <c r="C274" s="17"/>
      <c r="D274" s="17"/>
      <c r="E274" s="17"/>
      <c r="F274" s="17"/>
      <c r="G274" s="17"/>
      <c r="H274" s="17"/>
      <c r="I274" s="18" t="str">
        <f aca="false">IF(OR(G274="",G274=0),"",H274/G274)</f>
        <v/>
      </c>
      <c r="J274" s="12"/>
    </row>
    <row r="275" customFormat="false" ht="15" hidden="false" customHeight="false" outlineLevel="0" collapsed="false">
      <c r="A275" s="21"/>
      <c r="B275" s="7" t="str">
        <f aca="false">IF(A275="","",INT((A275-DATE(2026,11,2))/7)+1)</f>
        <v/>
      </c>
      <c r="C275" s="17"/>
      <c r="D275" s="17"/>
      <c r="E275" s="17"/>
      <c r="F275" s="17"/>
      <c r="G275" s="17"/>
      <c r="H275" s="17"/>
      <c r="I275" s="18" t="str">
        <f aca="false">IF(OR(G275="",G275=0),"",H275/G275)</f>
        <v/>
      </c>
      <c r="J275" s="12"/>
    </row>
    <row r="276" customFormat="false" ht="15" hidden="false" customHeight="false" outlineLevel="0" collapsed="false">
      <c r="A276" s="21"/>
      <c r="B276" s="7" t="str">
        <f aca="false">IF(A276="","",INT((A276-DATE(2026,11,2))/7)+1)</f>
        <v/>
      </c>
      <c r="C276" s="17"/>
      <c r="D276" s="17"/>
      <c r="E276" s="17"/>
      <c r="F276" s="17"/>
      <c r="G276" s="17"/>
      <c r="H276" s="17"/>
      <c r="I276" s="18" t="str">
        <f aca="false">IF(OR(G276="",G276=0),"",H276/G276)</f>
        <v/>
      </c>
      <c r="J276" s="12"/>
    </row>
    <row r="277" customFormat="false" ht="15" hidden="false" customHeight="false" outlineLevel="0" collapsed="false">
      <c r="A277" s="21"/>
      <c r="B277" s="7" t="str">
        <f aca="false">IF(A277="","",INT((A277-DATE(2026,11,2))/7)+1)</f>
        <v/>
      </c>
      <c r="C277" s="17"/>
      <c r="D277" s="17"/>
      <c r="E277" s="17"/>
      <c r="F277" s="17"/>
      <c r="G277" s="17"/>
      <c r="H277" s="17"/>
      <c r="I277" s="18" t="str">
        <f aca="false">IF(OR(G277="",G277=0),"",H277/G277)</f>
        <v/>
      </c>
      <c r="J277" s="12"/>
    </row>
    <row r="278" customFormat="false" ht="15" hidden="false" customHeight="false" outlineLevel="0" collapsed="false">
      <c r="A278" s="21"/>
      <c r="B278" s="7" t="str">
        <f aca="false">IF(A278="","",INT((A278-DATE(2026,11,2))/7)+1)</f>
        <v/>
      </c>
      <c r="C278" s="17"/>
      <c r="D278" s="17"/>
      <c r="E278" s="17"/>
      <c r="F278" s="17"/>
      <c r="G278" s="17"/>
      <c r="H278" s="17"/>
      <c r="I278" s="18" t="str">
        <f aca="false">IF(OR(G278="",G278=0),"",H278/G278)</f>
        <v/>
      </c>
      <c r="J278" s="12"/>
    </row>
    <row r="279" customFormat="false" ht="15" hidden="false" customHeight="false" outlineLevel="0" collapsed="false">
      <c r="A279" s="21"/>
      <c r="B279" s="7" t="str">
        <f aca="false">IF(A279="","",INT((A279-DATE(2026,11,2))/7)+1)</f>
        <v/>
      </c>
      <c r="C279" s="17"/>
      <c r="D279" s="17"/>
      <c r="E279" s="17"/>
      <c r="F279" s="17"/>
      <c r="G279" s="17"/>
      <c r="H279" s="17"/>
      <c r="I279" s="18" t="str">
        <f aca="false">IF(OR(G279="",G279=0),"",H279/G279)</f>
        <v/>
      </c>
      <c r="J279" s="12"/>
    </row>
    <row r="280" customFormat="false" ht="15" hidden="false" customHeight="false" outlineLevel="0" collapsed="false">
      <c r="A280" s="21"/>
      <c r="B280" s="7" t="str">
        <f aca="false">IF(A280="","",INT((A280-DATE(2026,11,2))/7)+1)</f>
        <v/>
      </c>
      <c r="C280" s="17"/>
      <c r="D280" s="17"/>
      <c r="E280" s="17"/>
      <c r="F280" s="17"/>
      <c r="G280" s="17"/>
      <c r="H280" s="17"/>
      <c r="I280" s="18" t="str">
        <f aca="false">IF(OR(G280="",G280=0),"",H280/G280)</f>
        <v/>
      </c>
      <c r="J280" s="12"/>
    </row>
    <row r="281" customFormat="false" ht="15" hidden="false" customHeight="false" outlineLevel="0" collapsed="false">
      <c r="A281" s="21"/>
      <c r="B281" s="7" t="str">
        <f aca="false">IF(A281="","",INT((A281-DATE(2026,11,2))/7)+1)</f>
        <v/>
      </c>
      <c r="C281" s="17"/>
      <c r="D281" s="17"/>
      <c r="E281" s="17"/>
      <c r="F281" s="17"/>
      <c r="G281" s="17"/>
      <c r="H281" s="17"/>
      <c r="I281" s="18" t="str">
        <f aca="false">IF(OR(G281="",G281=0),"",H281/G281)</f>
        <v/>
      </c>
      <c r="J281" s="12"/>
    </row>
    <row r="282" customFormat="false" ht="15" hidden="false" customHeight="false" outlineLevel="0" collapsed="false">
      <c r="A282" s="21"/>
      <c r="B282" s="7" t="str">
        <f aca="false">IF(A282="","",INT((A282-DATE(2026,11,2))/7)+1)</f>
        <v/>
      </c>
      <c r="C282" s="17"/>
      <c r="D282" s="17"/>
      <c r="E282" s="17"/>
      <c r="F282" s="17"/>
      <c r="G282" s="17"/>
      <c r="H282" s="17"/>
      <c r="I282" s="18" t="str">
        <f aca="false">IF(OR(G282="",G282=0),"",H282/G282)</f>
        <v/>
      </c>
      <c r="J282" s="12"/>
    </row>
    <row r="283" customFormat="false" ht="15" hidden="false" customHeight="false" outlineLevel="0" collapsed="false">
      <c r="A283" s="21"/>
      <c r="B283" s="7" t="str">
        <f aca="false">IF(A283="","",INT((A283-DATE(2026,11,2))/7)+1)</f>
        <v/>
      </c>
      <c r="C283" s="17"/>
      <c r="D283" s="17"/>
      <c r="E283" s="17"/>
      <c r="F283" s="17"/>
      <c r="G283" s="17"/>
      <c r="H283" s="17"/>
      <c r="I283" s="18" t="str">
        <f aca="false">IF(OR(G283="",G283=0),"",H283/G283)</f>
        <v/>
      </c>
      <c r="J283" s="12"/>
    </row>
    <row r="284" customFormat="false" ht="15" hidden="false" customHeight="false" outlineLevel="0" collapsed="false">
      <c r="A284" s="21"/>
      <c r="B284" s="7" t="str">
        <f aca="false">IF(A284="","",INT((A284-DATE(2026,11,2))/7)+1)</f>
        <v/>
      </c>
      <c r="C284" s="17"/>
      <c r="D284" s="17"/>
      <c r="E284" s="17"/>
      <c r="F284" s="17"/>
      <c r="G284" s="17"/>
      <c r="H284" s="17"/>
      <c r="I284" s="18" t="str">
        <f aca="false">IF(OR(G284="",G284=0),"",H284/G284)</f>
        <v/>
      </c>
      <c r="J284" s="12"/>
    </row>
    <row r="285" customFormat="false" ht="15" hidden="false" customHeight="false" outlineLevel="0" collapsed="false">
      <c r="A285" s="21"/>
      <c r="B285" s="7" t="str">
        <f aca="false">IF(A285="","",INT((A285-DATE(2026,11,2))/7)+1)</f>
        <v/>
      </c>
      <c r="C285" s="17"/>
      <c r="D285" s="17"/>
      <c r="E285" s="17"/>
      <c r="F285" s="17"/>
      <c r="G285" s="17"/>
      <c r="H285" s="17"/>
      <c r="I285" s="18" t="str">
        <f aca="false">IF(OR(G285="",G285=0),"",H285/G285)</f>
        <v/>
      </c>
      <c r="J285" s="12"/>
    </row>
    <row r="286" customFormat="false" ht="15" hidden="false" customHeight="false" outlineLevel="0" collapsed="false">
      <c r="A286" s="21"/>
      <c r="B286" s="7" t="str">
        <f aca="false">IF(A286="","",INT((A286-DATE(2026,11,2))/7)+1)</f>
        <v/>
      </c>
      <c r="C286" s="17"/>
      <c r="D286" s="17"/>
      <c r="E286" s="17"/>
      <c r="F286" s="17"/>
      <c r="G286" s="17"/>
      <c r="H286" s="17"/>
      <c r="I286" s="18" t="str">
        <f aca="false">IF(OR(G286="",G286=0),"",H286/G286)</f>
        <v/>
      </c>
      <c r="J286" s="12"/>
    </row>
    <row r="287" customFormat="false" ht="15" hidden="false" customHeight="false" outlineLevel="0" collapsed="false">
      <c r="A287" s="21"/>
      <c r="B287" s="7" t="str">
        <f aca="false">IF(A287="","",INT((A287-DATE(2026,11,2))/7)+1)</f>
        <v/>
      </c>
      <c r="C287" s="17"/>
      <c r="D287" s="17"/>
      <c r="E287" s="17"/>
      <c r="F287" s="17"/>
      <c r="G287" s="17"/>
      <c r="H287" s="17"/>
      <c r="I287" s="18" t="str">
        <f aca="false">IF(OR(G287="",G287=0),"",H287/G287)</f>
        <v/>
      </c>
      <c r="J287" s="12"/>
    </row>
    <row r="288" customFormat="false" ht="15" hidden="false" customHeight="false" outlineLevel="0" collapsed="false">
      <c r="A288" s="21"/>
      <c r="B288" s="7" t="str">
        <f aca="false">IF(A288="","",INT((A288-DATE(2026,11,2))/7)+1)</f>
        <v/>
      </c>
      <c r="C288" s="17"/>
      <c r="D288" s="17"/>
      <c r="E288" s="17"/>
      <c r="F288" s="17"/>
      <c r="G288" s="17"/>
      <c r="H288" s="17"/>
      <c r="I288" s="18" t="str">
        <f aca="false">IF(OR(G288="",G288=0),"",H288/G288)</f>
        <v/>
      </c>
      <c r="J288" s="12"/>
    </row>
    <row r="289" customFormat="false" ht="15" hidden="false" customHeight="false" outlineLevel="0" collapsed="false">
      <c r="A289" s="21"/>
      <c r="B289" s="7" t="str">
        <f aca="false">IF(A289="","",INT((A289-DATE(2026,11,2))/7)+1)</f>
        <v/>
      </c>
      <c r="C289" s="17"/>
      <c r="D289" s="17"/>
      <c r="E289" s="17"/>
      <c r="F289" s="17"/>
      <c r="G289" s="17"/>
      <c r="H289" s="17"/>
      <c r="I289" s="18" t="str">
        <f aca="false">IF(OR(G289="",G289=0),"",H289/G289)</f>
        <v/>
      </c>
      <c r="J289" s="12"/>
    </row>
    <row r="290" customFormat="false" ht="15" hidden="false" customHeight="false" outlineLevel="0" collapsed="false">
      <c r="A290" s="21"/>
      <c r="B290" s="7" t="str">
        <f aca="false">IF(A290="","",INT((A290-DATE(2026,11,2))/7)+1)</f>
        <v/>
      </c>
      <c r="C290" s="17"/>
      <c r="D290" s="17"/>
      <c r="E290" s="17"/>
      <c r="F290" s="17"/>
      <c r="G290" s="17"/>
      <c r="H290" s="17"/>
      <c r="I290" s="18" t="str">
        <f aca="false">IF(OR(G290="",G290=0),"",H290/G290)</f>
        <v/>
      </c>
      <c r="J290" s="12"/>
    </row>
    <row r="291" customFormat="false" ht="15" hidden="false" customHeight="false" outlineLevel="0" collapsed="false">
      <c r="A291" s="21"/>
      <c r="B291" s="7" t="str">
        <f aca="false">IF(A291="","",INT((A291-DATE(2026,11,2))/7)+1)</f>
        <v/>
      </c>
      <c r="C291" s="17"/>
      <c r="D291" s="17"/>
      <c r="E291" s="17"/>
      <c r="F291" s="17"/>
      <c r="G291" s="17"/>
      <c r="H291" s="17"/>
      <c r="I291" s="18" t="str">
        <f aca="false">IF(OR(G291="",G291=0),"",H291/G291)</f>
        <v/>
      </c>
      <c r="J291" s="12"/>
    </row>
    <row r="292" customFormat="false" ht="15" hidden="false" customHeight="false" outlineLevel="0" collapsed="false">
      <c r="A292" s="21"/>
      <c r="B292" s="7" t="str">
        <f aca="false">IF(A292="","",INT((A292-DATE(2026,11,2))/7)+1)</f>
        <v/>
      </c>
      <c r="C292" s="17"/>
      <c r="D292" s="17"/>
      <c r="E292" s="17"/>
      <c r="F292" s="17"/>
      <c r="G292" s="17"/>
      <c r="H292" s="17"/>
      <c r="I292" s="18" t="str">
        <f aca="false">IF(OR(G292="",G292=0),"",H292/G292)</f>
        <v/>
      </c>
      <c r="J292" s="12"/>
    </row>
    <row r="293" customFormat="false" ht="15" hidden="false" customHeight="false" outlineLevel="0" collapsed="false">
      <c r="A293" s="21"/>
      <c r="B293" s="7" t="str">
        <f aca="false">IF(A293="","",INT((A293-DATE(2026,11,2))/7)+1)</f>
        <v/>
      </c>
      <c r="C293" s="17"/>
      <c r="D293" s="17"/>
      <c r="E293" s="17"/>
      <c r="F293" s="17"/>
      <c r="G293" s="17"/>
      <c r="H293" s="17"/>
      <c r="I293" s="18" t="str">
        <f aca="false">IF(OR(G293="",G293=0),"",H293/G293)</f>
        <v/>
      </c>
      <c r="J293" s="12"/>
    </row>
    <row r="294" customFormat="false" ht="15" hidden="false" customHeight="false" outlineLevel="0" collapsed="false">
      <c r="A294" s="21"/>
      <c r="B294" s="7" t="str">
        <f aca="false">IF(A294="","",INT((A294-DATE(2026,11,2))/7)+1)</f>
        <v/>
      </c>
      <c r="C294" s="17"/>
      <c r="D294" s="17"/>
      <c r="E294" s="17"/>
      <c r="F294" s="17"/>
      <c r="G294" s="17"/>
      <c r="H294" s="17"/>
      <c r="I294" s="18" t="str">
        <f aca="false">IF(OR(G294="",G294=0),"",H294/G294)</f>
        <v/>
      </c>
      <c r="J294" s="12"/>
    </row>
    <row r="295" customFormat="false" ht="15" hidden="false" customHeight="false" outlineLevel="0" collapsed="false">
      <c r="A295" s="21"/>
      <c r="B295" s="7" t="str">
        <f aca="false">IF(A295="","",INT((A295-DATE(2026,11,2))/7)+1)</f>
        <v/>
      </c>
      <c r="C295" s="17"/>
      <c r="D295" s="17"/>
      <c r="E295" s="17"/>
      <c r="F295" s="17"/>
      <c r="G295" s="17"/>
      <c r="H295" s="17"/>
      <c r="I295" s="18" t="str">
        <f aca="false">IF(OR(G295="",G295=0),"",H295/G295)</f>
        <v/>
      </c>
      <c r="J295" s="12"/>
    </row>
    <row r="296" customFormat="false" ht="15" hidden="false" customHeight="false" outlineLevel="0" collapsed="false">
      <c r="A296" s="21"/>
      <c r="B296" s="7" t="str">
        <f aca="false">IF(A296="","",INT((A296-DATE(2026,11,2))/7)+1)</f>
        <v/>
      </c>
      <c r="C296" s="17"/>
      <c r="D296" s="17"/>
      <c r="E296" s="17"/>
      <c r="F296" s="17"/>
      <c r="G296" s="17"/>
      <c r="H296" s="17"/>
      <c r="I296" s="18" t="str">
        <f aca="false">IF(OR(G296="",G296=0),"",H296/G296)</f>
        <v/>
      </c>
      <c r="J296" s="12"/>
    </row>
    <row r="297" customFormat="false" ht="15" hidden="false" customHeight="false" outlineLevel="0" collapsed="false">
      <c r="A297" s="21"/>
      <c r="B297" s="7" t="str">
        <f aca="false">IF(A297="","",INT((A297-DATE(2026,11,2))/7)+1)</f>
        <v/>
      </c>
      <c r="C297" s="17"/>
      <c r="D297" s="17"/>
      <c r="E297" s="17"/>
      <c r="F297" s="17"/>
      <c r="G297" s="17"/>
      <c r="H297" s="17"/>
      <c r="I297" s="18" t="str">
        <f aca="false">IF(OR(G297="",G297=0),"",H297/G297)</f>
        <v/>
      </c>
      <c r="J297" s="12"/>
    </row>
    <row r="298" customFormat="false" ht="15" hidden="false" customHeight="false" outlineLevel="0" collapsed="false">
      <c r="A298" s="21"/>
      <c r="B298" s="7" t="str">
        <f aca="false">IF(A298="","",INT((A298-DATE(2026,11,2))/7)+1)</f>
        <v/>
      </c>
      <c r="C298" s="17"/>
      <c r="D298" s="17"/>
      <c r="E298" s="17"/>
      <c r="F298" s="17"/>
      <c r="G298" s="17"/>
      <c r="H298" s="17"/>
      <c r="I298" s="18" t="str">
        <f aca="false">IF(OR(G298="",G298=0),"",H298/G298)</f>
        <v/>
      </c>
      <c r="J298" s="12"/>
    </row>
    <row r="299" customFormat="false" ht="15" hidden="false" customHeight="false" outlineLevel="0" collapsed="false">
      <c r="A299" s="21"/>
      <c r="B299" s="7" t="str">
        <f aca="false">IF(A299="","",INT((A299-DATE(2026,11,2))/7)+1)</f>
        <v/>
      </c>
      <c r="C299" s="17"/>
      <c r="D299" s="17"/>
      <c r="E299" s="17"/>
      <c r="F299" s="17"/>
      <c r="G299" s="17"/>
      <c r="H299" s="17"/>
      <c r="I299" s="18" t="str">
        <f aca="false">IF(OR(G299="",G299=0),"",H299/G299)</f>
        <v/>
      </c>
      <c r="J299" s="12"/>
    </row>
    <row r="300" customFormat="false" ht="15" hidden="false" customHeight="false" outlineLevel="0" collapsed="false">
      <c r="A300" s="21"/>
      <c r="B300" s="7" t="str">
        <f aca="false">IF(A300="","",INT((A300-DATE(2026,11,2))/7)+1)</f>
        <v/>
      </c>
      <c r="C300" s="17"/>
      <c r="D300" s="17"/>
      <c r="E300" s="17"/>
      <c r="F300" s="17"/>
      <c r="G300" s="17"/>
      <c r="H300" s="17"/>
      <c r="I300" s="18" t="str">
        <f aca="false">IF(OR(G300="",G300=0),"",H300/G300)</f>
        <v/>
      </c>
      <c r="J300" s="12"/>
    </row>
    <row r="301" customFormat="false" ht="15" hidden="false" customHeight="false" outlineLevel="0" collapsed="false">
      <c r="A301" s="21"/>
      <c r="B301" s="7" t="str">
        <f aca="false">IF(A301="","",INT((A301-DATE(2026,11,2))/7)+1)</f>
        <v/>
      </c>
      <c r="C301" s="17"/>
      <c r="D301" s="17"/>
      <c r="E301" s="17"/>
      <c r="F301" s="17"/>
      <c r="G301" s="17"/>
      <c r="H301" s="17"/>
      <c r="I301" s="18" t="str">
        <f aca="false">IF(OR(G301="",G301=0),"",H301/G301)</f>
        <v/>
      </c>
      <c r="J301" s="12"/>
    </row>
    <row r="302" customFormat="false" ht="15" hidden="false" customHeight="false" outlineLevel="0" collapsed="false">
      <c r="A302" s="21"/>
      <c r="B302" s="7" t="str">
        <f aca="false">IF(A302="","",INT((A302-DATE(2026,11,2))/7)+1)</f>
        <v/>
      </c>
      <c r="C302" s="17"/>
      <c r="D302" s="17"/>
      <c r="E302" s="17"/>
      <c r="F302" s="17"/>
      <c r="G302" s="17"/>
      <c r="H302" s="17"/>
      <c r="I302" s="18" t="str">
        <f aca="false">IF(OR(G302="",G302=0),"",H302/G302)</f>
        <v/>
      </c>
      <c r="J302" s="12"/>
    </row>
    <row r="303" customFormat="false" ht="15" hidden="false" customHeight="false" outlineLevel="0" collapsed="false">
      <c r="A303" s="21"/>
      <c r="B303" s="7" t="str">
        <f aca="false">IF(A303="","",INT((A303-DATE(2026,11,2))/7)+1)</f>
        <v/>
      </c>
      <c r="C303" s="17"/>
      <c r="D303" s="17"/>
      <c r="E303" s="17"/>
      <c r="F303" s="17"/>
      <c r="G303" s="17"/>
      <c r="H303" s="17"/>
      <c r="I303" s="18" t="str">
        <f aca="false">IF(OR(G303="",G303=0),"",H303/G303)</f>
        <v/>
      </c>
      <c r="J303" s="12"/>
    </row>
    <row r="304" customFormat="false" ht="15" hidden="false" customHeight="false" outlineLevel="0" collapsed="false">
      <c r="A304" s="21"/>
      <c r="B304" s="7" t="str">
        <f aca="false">IF(A304="","",INT((A304-DATE(2026,11,2))/7)+1)</f>
        <v/>
      </c>
      <c r="C304" s="17"/>
      <c r="D304" s="17"/>
      <c r="E304" s="17"/>
      <c r="F304" s="17"/>
      <c r="G304" s="17"/>
      <c r="H304" s="17"/>
      <c r="I304" s="18" t="str">
        <f aca="false">IF(OR(G304="",G304=0),"",H304/G304)</f>
        <v/>
      </c>
      <c r="J304" s="12"/>
    </row>
    <row r="305" customFormat="false" ht="15" hidden="false" customHeight="false" outlineLevel="0" collapsed="false">
      <c r="A305" s="21"/>
      <c r="B305" s="7" t="str">
        <f aca="false">IF(A305="","",INT((A305-DATE(2026,11,2))/7)+1)</f>
        <v/>
      </c>
      <c r="C305" s="17"/>
      <c r="D305" s="17"/>
      <c r="E305" s="17"/>
      <c r="F305" s="17"/>
      <c r="G305" s="17"/>
      <c r="H305" s="17"/>
      <c r="I305" s="18" t="str">
        <f aca="false">IF(OR(G305="",G305=0),"",H305/G305)</f>
        <v/>
      </c>
      <c r="J305" s="12"/>
    </row>
    <row r="306" customFormat="false" ht="15" hidden="false" customHeight="false" outlineLevel="0" collapsed="false">
      <c r="A306" s="21"/>
      <c r="B306" s="7" t="str">
        <f aca="false">IF(A306="","",INT((A306-DATE(2026,11,2))/7)+1)</f>
        <v/>
      </c>
      <c r="C306" s="17"/>
      <c r="D306" s="17"/>
      <c r="E306" s="17"/>
      <c r="F306" s="17"/>
      <c r="G306" s="17"/>
      <c r="H306" s="17"/>
      <c r="I306" s="18" t="str">
        <f aca="false">IF(OR(G306="",G306=0),"",H306/G306)</f>
        <v/>
      </c>
      <c r="J306" s="12"/>
    </row>
    <row r="307" customFormat="false" ht="15" hidden="false" customHeight="false" outlineLevel="0" collapsed="false">
      <c r="A307" s="21"/>
      <c r="B307" s="7" t="str">
        <f aca="false">IF(A307="","",INT((A307-DATE(2026,11,2))/7)+1)</f>
        <v/>
      </c>
      <c r="C307" s="17"/>
      <c r="D307" s="17"/>
      <c r="E307" s="17"/>
      <c r="F307" s="17"/>
      <c r="G307" s="17"/>
      <c r="H307" s="17"/>
      <c r="I307" s="18" t="str">
        <f aca="false">IF(OR(G307="",G307=0),"",H307/G307)</f>
        <v/>
      </c>
      <c r="J307" s="12"/>
    </row>
    <row r="308" customFormat="false" ht="15" hidden="false" customHeight="false" outlineLevel="0" collapsed="false">
      <c r="A308" s="21"/>
      <c r="B308" s="7" t="str">
        <f aca="false">IF(A308="","",INT((A308-DATE(2026,11,2))/7)+1)</f>
        <v/>
      </c>
      <c r="C308" s="17"/>
      <c r="D308" s="17"/>
      <c r="E308" s="17"/>
      <c r="F308" s="17"/>
      <c r="G308" s="17"/>
      <c r="H308" s="17"/>
      <c r="I308" s="18" t="str">
        <f aca="false">IF(OR(G308="",G308=0),"",H308/G308)</f>
        <v/>
      </c>
      <c r="J308" s="12"/>
    </row>
    <row r="309" customFormat="false" ht="15" hidden="false" customHeight="false" outlineLevel="0" collapsed="false">
      <c r="A309" s="21"/>
      <c r="B309" s="7" t="str">
        <f aca="false">IF(A309="","",INT((A309-DATE(2026,11,2))/7)+1)</f>
        <v/>
      </c>
      <c r="C309" s="17"/>
      <c r="D309" s="17"/>
      <c r="E309" s="17"/>
      <c r="F309" s="17"/>
      <c r="G309" s="17"/>
      <c r="H309" s="17"/>
      <c r="I309" s="18" t="str">
        <f aca="false">IF(OR(G309="",G309=0),"",H309/G309)</f>
        <v/>
      </c>
      <c r="J309" s="12"/>
    </row>
    <row r="310" customFormat="false" ht="15" hidden="false" customHeight="false" outlineLevel="0" collapsed="false">
      <c r="A310" s="21"/>
      <c r="B310" s="7" t="str">
        <f aca="false">IF(A310="","",INT((A310-DATE(2026,11,2))/7)+1)</f>
        <v/>
      </c>
      <c r="C310" s="17"/>
      <c r="D310" s="17"/>
      <c r="E310" s="17"/>
      <c r="F310" s="17"/>
      <c r="G310" s="17"/>
      <c r="H310" s="17"/>
      <c r="I310" s="18" t="str">
        <f aca="false">IF(OR(G310="",G310=0),"",H310/G310)</f>
        <v/>
      </c>
      <c r="J310" s="12"/>
    </row>
    <row r="311" customFormat="false" ht="15" hidden="false" customHeight="false" outlineLevel="0" collapsed="false">
      <c r="A311" s="21"/>
      <c r="B311" s="7" t="str">
        <f aca="false">IF(A311="","",INT((A311-DATE(2026,11,2))/7)+1)</f>
        <v/>
      </c>
      <c r="C311" s="17"/>
      <c r="D311" s="17"/>
      <c r="E311" s="17"/>
      <c r="F311" s="17"/>
      <c r="G311" s="17"/>
      <c r="H311" s="17"/>
      <c r="I311" s="18" t="str">
        <f aca="false">IF(OR(G311="",G311=0),"",H311/G311)</f>
        <v/>
      </c>
      <c r="J311" s="12"/>
    </row>
    <row r="312" customFormat="false" ht="15" hidden="false" customHeight="false" outlineLevel="0" collapsed="false">
      <c r="A312" s="21"/>
      <c r="B312" s="7" t="str">
        <f aca="false">IF(A312="","",INT((A312-DATE(2026,11,2))/7)+1)</f>
        <v/>
      </c>
      <c r="C312" s="17"/>
      <c r="D312" s="17"/>
      <c r="E312" s="17"/>
      <c r="F312" s="17"/>
      <c r="G312" s="17"/>
      <c r="H312" s="17"/>
      <c r="I312" s="18" t="str">
        <f aca="false">IF(OR(G312="",G312=0),"",H312/G312)</f>
        <v/>
      </c>
      <c r="J312" s="12"/>
    </row>
    <row r="313" customFormat="false" ht="15" hidden="false" customHeight="false" outlineLevel="0" collapsed="false">
      <c r="A313" s="21"/>
      <c r="B313" s="7" t="str">
        <f aca="false">IF(A313="","",INT((A313-DATE(2026,11,2))/7)+1)</f>
        <v/>
      </c>
      <c r="C313" s="17"/>
      <c r="D313" s="17"/>
      <c r="E313" s="17"/>
      <c r="F313" s="17"/>
      <c r="G313" s="17"/>
      <c r="H313" s="17"/>
      <c r="I313" s="18" t="str">
        <f aca="false">IF(OR(G313="",G313=0),"",H313/G313)</f>
        <v/>
      </c>
      <c r="J313" s="12"/>
    </row>
    <row r="314" customFormat="false" ht="15" hidden="false" customHeight="false" outlineLevel="0" collapsed="false">
      <c r="A314" s="21"/>
      <c r="B314" s="7" t="str">
        <f aca="false">IF(A314="","",INT((A314-DATE(2026,11,2))/7)+1)</f>
        <v/>
      </c>
      <c r="C314" s="17"/>
      <c r="D314" s="17"/>
      <c r="E314" s="17"/>
      <c r="F314" s="17"/>
      <c r="G314" s="17"/>
      <c r="H314" s="17"/>
      <c r="I314" s="18" t="str">
        <f aca="false">IF(OR(G314="",G314=0),"",H314/G314)</f>
        <v/>
      </c>
      <c r="J314" s="12"/>
    </row>
    <row r="315" customFormat="false" ht="15" hidden="false" customHeight="false" outlineLevel="0" collapsed="false">
      <c r="A315" s="21"/>
      <c r="B315" s="7" t="str">
        <f aca="false">IF(A315="","",INT((A315-DATE(2026,11,2))/7)+1)</f>
        <v/>
      </c>
      <c r="C315" s="17"/>
      <c r="D315" s="17"/>
      <c r="E315" s="17"/>
      <c r="F315" s="17"/>
      <c r="G315" s="17"/>
      <c r="H315" s="17"/>
      <c r="I315" s="18" t="str">
        <f aca="false">IF(OR(G315="",G315=0),"",H315/G315)</f>
        <v/>
      </c>
      <c r="J315" s="12"/>
    </row>
    <row r="316" customFormat="false" ht="15" hidden="false" customHeight="false" outlineLevel="0" collapsed="false">
      <c r="A316" s="21"/>
      <c r="B316" s="7" t="str">
        <f aca="false">IF(A316="","",INT((A316-DATE(2026,11,2))/7)+1)</f>
        <v/>
      </c>
      <c r="C316" s="17"/>
      <c r="D316" s="17"/>
      <c r="E316" s="17"/>
      <c r="F316" s="17"/>
      <c r="G316" s="17"/>
      <c r="H316" s="17"/>
      <c r="I316" s="18" t="str">
        <f aca="false">IF(OR(G316="",G316=0),"",H316/G316)</f>
        <v/>
      </c>
      <c r="J316" s="12"/>
    </row>
    <row r="317" customFormat="false" ht="15" hidden="false" customHeight="false" outlineLevel="0" collapsed="false">
      <c r="A317" s="21"/>
      <c r="B317" s="7" t="str">
        <f aca="false">IF(A317="","",INT((A317-DATE(2026,11,2))/7)+1)</f>
        <v/>
      </c>
      <c r="C317" s="17"/>
      <c r="D317" s="17"/>
      <c r="E317" s="17"/>
      <c r="F317" s="17"/>
      <c r="G317" s="17"/>
      <c r="H317" s="17"/>
      <c r="I317" s="18" t="str">
        <f aca="false">IF(OR(G317="",G317=0),"",H317/G317)</f>
        <v/>
      </c>
      <c r="J317" s="12"/>
    </row>
    <row r="318" customFormat="false" ht="15" hidden="false" customHeight="false" outlineLevel="0" collapsed="false">
      <c r="A318" s="21"/>
      <c r="B318" s="7" t="str">
        <f aca="false">IF(A318="","",INT((A318-DATE(2026,11,2))/7)+1)</f>
        <v/>
      </c>
      <c r="C318" s="17"/>
      <c r="D318" s="17"/>
      <c r="E318" s="17"/>
      <c r="F318" s="17"/>
      <c r="G318" s="17"/>
      <c r="H318" s="17"/>
      <c r="I318" s="18" t="str">
        <f aca="false">IF(OR(G318="",G318=0),"",H318/G318)</f>
        <v/>
      </c>
      <c r="J318" s="12"/>
    </row>
    <row r="319" customFormat="false" ht="15" hidden="false" customHeight="false" outlineLevel="0" collapsed="false">
      <c r="A319" s="21"/>
      <c r="B319" s="7" t="str">
        <f aca="false">IF(A319="","",INT((A319-DATE(2026,11,2))/7)+1)</f>
        <v/>
      </c>
      <c r="C319" s="17"/>
      <c r="D319" s="17"/>
      <c r="E319" s="17"/>
      <c r="F319" s="17"/>
      <c r="G319" s="17"/>
      <c r="H319" s="17"/>
      <c r="I319" s="18" t="str">
        <f aca="false">IF(OR(G319="",G319=0),"",H319/G319)</f>
        <v/>
      </c>
      <c r="J319" s="12"/>
    </row>
    <row r="320" customFormat="false" ht="15" hidden="false" customHeight="false" outlineLevel="0" collapsed="false">
      <c r="A320" s="21"/>
      <c r="B320" s="7" t="str">
        <f aca="false">IF(A320="","",INT((A320-DATE(2026,11,2))/7)+1)</f>
        <v/>
      </c>
      <c r="C320" s="17"/>
      <c r="D320" s="17"/>
      <c r="E320" s="17"/>
      <c r="F320" s="17"/>
      <c r="G320" s="17"/>
      <c r="H320" s="17"/>
      <c r="I320" s="18" t="str">
        <f aca="false">IF(OR(G320="",G320=0),"",H320/G320)</f>
        <v/>
      </c>
      <c r="J320" s="12"/>
    </row>
    <row r="321" customFormat="false" ht="15" hidden="false" customHeight="false" outlineLevel="0" collapsed="false">
      <c r="A321" s="21"/>
      <c r="B321" s="7" t="str">
        <f aca="false">IF(A321="","",INT((A321-DATE(2026,11,2))/7)+1)</f>
        <v/>
      </c>
      <c r="C321" s="17"/>
      <c r="D321" s="17"/>
      <c r="E321" s="17"/>
      <c r="F321" s="17"/>
      <c r="G321" s="17"/>
      <c r="H321" s="17"/>
      <c r="I321" s="18" t="str">
        <f aca="false">IF(OR(G321="",G321=0),"",H321/G321)</f>
        <v/>
      </c>
      <c r="J321" s="12"/>
    </row>
    <row r="322" customFormat="false" ht="15" hidden="false" customHeight="false" outlineLevel="0" collapsed="false">
      <c r="A322" s="21"/>
      <c r="B322" s="7" t="str">
        <f aca="false">IF(A322="","",INT((A322-DATE(2026,11,2))/7)+1)</f>
        <v/>
      </c>
      <c r="C322" s="17"/>
      <c r="D322" s="17"/>
      <c r="E322" s="17"/>
      <c r="F322" s="17"/>
      <c r="G322" s="17"/>
      <c r="H322" s="17"/>
      <c r="I322" s="18" t="str">
        <f aca="false">IF(OR(G322="",G322=0),"",H322/G322)</f>
        <v/>
      </c>
      <c r="J322" s="12"/>
    </row>
    <row r="323" customFormat="false" ht="15" hidden="false" customHeight="false" outlineLevel="0" collapsed="false">
      <c r="A323" s="21"/>
      <c r="B323" s="7" t="str">
        <f aca="false">IF(A323="","",INT((A323-DATE(2026,11,2))/7)+1)</f>
        <v/>
      </c>
      <c r="C323" s="17"/>
      <c r="D323" s="17"/>
      <c r="E323" s="17"/>
      <c r="F323" s="17"/>
      <c r="G323" s="17"/>
      <c r="H323" s="17"/>
      <c r="I323" s="18" t="str">
        <f aca="false">IF(OR(G323="",G323=0),"",H323/G323)</f>
        <v/>
      </c>
      <c r="J323" s="12"/>
    </row>
    <row r="324" customFormat="false" ht="15" hidden="false" customHeight="false" outlineLevel="0" collapsed="false">
      <c r="A324" s="21"/>
      <c r="B324" s="7" t="str">
        <f aca="false">IF(A324="","",INT((A324-DATE(2026,11,2))/7)+1)</f>
        <v/>
      </c>
      <c r="C324" s="17"/>
      <c r="D324" s="17"/>
      <c r="E324" s="17"/>
      <c r="F324" s="17"/>
      <c r="G324" s="17"/>
      <c r="H324" s="17"/>
      <c r="I324" s="18" t="str">
        <f aca="false">IF(OR(G324="",G324=0),"",H324/G324)</f>
        <v/>
      </c>
      <c r="J324" s="12"/>
    </row>
    <row r="325" customFormat="false" ht="15" hidden="false" customHeight="false" outlineLevel="0" collapsed="false">
      <c r="A325" s="21"/>
      <c r="B325" s="7" t="str">
        <f aca="false">IF(A325="","",INT((A325-DATE(2026,11,2))/7)+1)</f>
        <v/>
      </c>
      <c r="C325" s="17"/>
      <c r="D325" s="17"/>
      <c r="E325" s="17"/>
      <c r="F325" s="17"/>
      <c r="G325" s="17"/>
      <c r="H325" s="17"/>
      <c r="I325" s="18" t="str">
        <f aca="false">IF(OR(G325="",G325=0),"",H325/G325)</f>
        <v/>
      </c>
      <c r="J325" s="12"/>
    </row>
    <row r="326" customFormat="false" ht="15" hidden="false" customHeight="false" outlineLevel="0" collapsed="false">
      <c r="A326" s="21"/>
      <c r="B326" s="7" t="str">
        <f aca="false">IF(A326="","",INT((A326-DATE(2026,11,2))/7)+1)</f>
        <v/>
      </c>
      <c r="C326" s="17"/>
      <c r="D326" s="17"/>
      <c r="E326" s="17"/>
      <c r="F326" s="17"/>
      <c r="G326" s="17"/>
      <c r="H326" s="17"/>
      <c r="I326" s="18" t="str">
        <f aca="false">IF(OR(G326="",G326=0),"",H326/G326)</f>
        <v/>
      </c>
      <c r="J326" s="12"/>
    </row>
    <row r="327" customFormat="false" ht="15" hidden="false" customHeight="false" outlineLevel="0" collapsed="false">
      <c r="A327" s="21"/>
      <c r="B327" s="7" t="str">
        <f aca="false">IF(A327="","",INT((A327-DATE(2026,11,2))/7)+1)</f>
        <v/>
      </c>
      <c r="C327" s="17"/>
      <c r="D327" s="17"/>
      <c r="E327" s="17"/>
      <c r="F327" s="17"/>
      <c r="G327" s="17"/>
      <c r="H327" s="17"/>
      <c r="I327" s="18" t="str">
        <f aca="false">IF(OR(G327="",G327=0),"",H327/G327)</f>
        <v/>
      </c>
      <c r="J327" s="12"/>
    </row>
    <row r="328" customFormat="false" ht="15" hidden="false" customHeight="false" outlineLevel="0" collapsed="false">
      <c r="A328" s="21"/>
      <c r="B328" s="7" t="str">
        <f aca="false">IF(A328="","",INT((A328-DATE(2026,11,2))/7)+1)</f>
        <v/>
      </c>
      <c r="C328" s="17"/>
      <c r="D328" s="17"/>
      <c r="E328" s="17"/>
      <c r="F328" s="17"/>
      <c r="G328" s="17"/>
      <c r="H328" s="17"/>
      <c r="I328" s="18" t="str">
        <f aca="false">IF(OR(G328="",G328=0),"",H328/G328)</f>
        <v/>
      </c>
      <c r="J328" s="12"/>
    </row>
    <row r="329" customFormat="false" ht="15" hidden="false" customHeight="false" outlineLevel="0" collapsed="false">
      <c r="A329" s="21"/>
      <c r="B329" s="7" t="str">
        <f aca="false">IF(A329="","",INT((A329-DATE(2026,11,2))/7)+1)</f>
        <v/>
      </c>
      <c r="C329" s="17"/>
      <c r="D329" s="17"/>
      <c r="E329" s="17"/>
      <c r="F329" s="17"/>
      <c r="G329" s="17"/>
      <c r="H329" s="17"/>
      <c r="I329" s="18" t="str">
        <f aca="false">IF(OR(G329="",G329=0),"",H329/G329)</f>
        <v/>
      </c>
      <c r="J329" s="12"/>
    </row>
    <row r="330" customFormat="false" ht="15" hidden="false" customHeight="false" outlineLevel="0" collapsed="false">
      <c r="A330" s="21"/>
      <c r="B330" s="7" t="str">
        <f aca="false">IF(A330="","",INT((A330-DATE(2026,11,2))/7)+1)</f>
        <v/>
      </c>
      <c r="C330" s="17"/>
      <c r="D330" s="17"/>
      <c r="E330" s="17"/>
      <c r="F330" s="17"/>
      <c r="G330" s="17"/>
      <c r="H330" s="17"/>
      <c r="I330" s="18" t="str">
        <f aca="false">IF(OR(G330="",G330=0),"",H330/G330)</f>
        <v/>
      </c>
      <c r="J330" s="12"/>
    </row>
    <row r="331" customFormat="false" ht="15" hidden="false" customHeight="false" outlineLevel="0" collapsed="false">
      <c r="A331" s="21"/>
      <c r="B331" s="7" t="str">
        <f aca="false">IF(A331="","",INT((A331-DATE(2026,11,2))/7)+1)</f>
        <v/>
      </c>
      <c r="C331" s="17"/>
      <c r="D331" s="17"/>
      <c r="E331" s="17"/>
      <c r="F331" s="17"/>
      <c r="G331" s="17"/>
      <c r="H331" s="17"/>
      <c r="I331" s="18" t="str">
        <f aca="false">IF(OR(G331="",G331=0),"",H331/G331)</f>
        <v/>
      </c>
      <c r="J331" s="12"/>
    </row>
    <row r="332" customFormat="false" ht="15" hidden="false" customHeight="false" outlineLevel="0" collapsed="false">
      <c r="A332" s="21"/>
      <c r="B332" s="7" t="str">
        <f aca="false">IF(A332="","",INT((A332-DATE(2026,11,2))/7)+1)</f>
        <v/>
      </c>
      <c r="C332" s="17"/>
      <c r="D332" s="17"/>
      <c r="E332" s="17"/>
      <c r="F332" s="17"/>
      <c r="G332" s="17"/>
      <c r="H332" s="17"/>
      <c r="I332" s="18" t="str">
        <f aca="false">IF(OR(G332="",G332=0),"",H332/G332)</f>
        <v/>
      </c>
      <c r="J332" s="12"/>
    </row>
    <row r="333" customFormat="false" ht="15" hidden="false" customHeight="false" outlineLevel="0" collapsed="false">
      <c r="A333" s="21"/>
      <c r="B333" s="7" t="str">
        <f aca="false">IF(A333="","",INT((A333-DATE(2026,11,2))/7)+1)</f>
        <v/>
      </c>
      <c r="C333" s="17"/>
      <c r="D333" s="17"/>
      <c r="E333" s="17"/>
      <c r="F333" s="17"/>
      <c r="G333" s="17"/>
      <c r="H333" s="17"/>
      <c r="I333" s="18" t="str">
        <f aca="false">IF(OR(G333="",G333=0),"",H333/G333)</f>
        <v/>
      </c>
      <c r="J333" s="12"/>
    </row>
    <row r="334" customFormat="false" ht="15" hidden="false" customHeight="false" outlineLevel="0" collapsed="false">
      <c r="A334" s="21"/>
      <c r="B334" s="7" t="str">
        <f aca="false">IF(A334="","",INT((A334-DATE(2026,11,2))/7)+1)</f>
        <v/>
      </c>
      <c r="C334" s="17"/>
      <c r="D334" s="17"/>
      <c r="E334" s="17"/>
      <c r="F334" s="17"/>
      <c r="G334" s="17"/>
      <c r="H334" s="17"/>
      <c r="I334" s="18" t="str">
        <f aca="false">IF(OR(G334="",G334=0),"",H334/G334)</f>
        <v/>
      </c>
      <c r="J334" s="12"/>
    </row>
    <row r="335" customFormat="false" ht="15" hidden="false" customHeight="false" outlineLevel="0" collapsed="false">
      <c r="A335" s="21"/>
      <c r="B335" s="7" t="str">
        <f aca="false">IF(A335="","",INT((A335-DATE(2026,11,2))/7)+1)</f>
        <v/>
      </c>
      <c r="C335" s="17"/>
      <c r="D335" s="17"/>
      <c r="E335" s="17"/>
      <c r="F335" s="17"/>
      <c r="G335" s="17"/>
      <c r="H335" s="17"/>
      <c r="I335" s="18" t="str">
        <f aca="false">IF(OR(G335="",G335=0),"",H335/G335)</f>
        <v/>
      </c>
      <c r="J335" s="12"/>
    </row>
    <row r="336" customFormat="false" ht="15" hidden="false" customHeight="false" outlineLevel="0" collapsed="false">
      <c r="A336" s="21"/>
      <c r="B336" s="7" t="str">
        <f aca="false">IF(A336="","",INT((A336-DATE(2026,11,2))/7)+1)</f>
        <v/>
      </c>
      <c r="C336" s="17"/>
      <c r="D336" s="17"/>
      <c r="E336" s="17"/>
      <c r="F336" s="17"/>
      <c r="G336" s="17"/>
      <c r="H336" s="17"/>
      <c r="I336" s="18" t="str">
        <f aca="false">IF(OR(G336="",G336=0),"",H336/G336)</f>
        <v/>
      </c>
      <c r="J336" s="12"/>
    </row>
    <row r="337" customFormat="false" ht="15" hidden="false" customHeight="false" outlineLevel="0" collapsed="false">
      <c r="A337" s="21"/>
      <c r="B337" s="7" t="str">
        <f aca="false">IF(A337="","",INT((A337-DATE(2026,11,2))/7)+1)</f>
        <v/>
      </c>
      <c r="C337" s="17"/>
      <c r="D337" s="17"/>
      <c r="E337" s="17"/>
      <c r="F337" s="17"/>
      <c r="G337" s="17"/>
      <c r="H337" s="17"/>
      <c r="I337" s="18" t="str">
        <f aca="false">IF(OR(G337="",G337=0),"",H337/G337)</f>
        <v/>
      </c>
      <c r="J337" s="12"/>
    </row>
    <row r="338" customFormat="false" ht="15" hidden="false" customHeight="false" outlineLevel="0" collapsed="false">
      <c r="A338" s="21"/>
      <c r="B338" s="7" t="str">
        <f aca="false">IF(A338="","",INT((A338-DATE(2026,11,2))/7)+1)</f>
        <v/>
      </c>
      <c r="C338" s="17"/>
      <c r="D338" s="17"/>
      <c r="E338" s="17"/>
      <c r="F338" s="17"/>
      <c r="G338" s="17"/>
      <c r="H338" s="17"/>
      <c r="I338" s="18" t="str">
        <f aca="false">IF(OR(G338="",G338=0),"",H338/G338)</f>
        <v/>
      </c>
      <c r="J338" s="12"/>
    </row>
    <row r="339" customFormat="false" ht="15" hidden="false" customHeight="false" outlineLevel="0" collapsed="false">
      <c r="A339" s="21"/>
      <c r="B339" s="7" t="str">
        <f aca="false">IF(A339="","",INT((A339-DATE(2026,11,2))/7)+1)</f>
        <v/>
      </c>
      <c r="C339" s="17"/>
      <c r="D339" s="17"/>
      <c r="E339" s="17"/>
      <c r="F339" s="17"/>
      <c r="G339" s="17"/>
      <c r="H339" s="17"/>
      <c r="I339" s="18" t="str">
        <f aca="false">IF(OR(G339="",G339=0),"",H339/G339)</f>
        <v/>
      </c>
      <c r="J339" s="12"/>
    </row>
    <row r="340" customFormat="false" ht="15" hidden="false" customHeight="false" outlineLevel="0" collapsed="false">
      <c r="A340" s="21"/>
      <c r="B340" s="7" t="str">
        <f aca="false">IF(A340="","",INT((A340-DATE(2026,11,2))/7)+1)</f>
        <v/>
      </c>
      <c r="C340" s="17"/>
      <c r="D340" s="17"/>
      <c r="E340" s="17"/>
      <c r="F340" s="17"/>
      <c r="G340" s="17"/>
      <c r="H340" s="17"/>
      <c r="I340" s="18" t="str">
        <f aca="false">IF(OR(G340="",G340=0),"",H340/G340)</f>
        <v/>
      </c>
      <c r="J340" s="12"/>
    </row>
    <row r="341" customFormat="false" ht="15" hidden="false" customHeight="false" outlineLevel="0" collapsed="false">
      <c r="A341" s="21"/>
      <c r="B341" s="7" t="str">
        <f aca="false">IF(A341="","",INT((A341-DATE(2026,11,2))/7)+1)</f>
        <v/>
      </c>
      <c r="C341" s="17"/>
      <c r="D341" s="17"/>
      <c r="E341" s="17"/>
      <c r="F341" s="17"/>
      <c r="G341" s="17"/>
      <c r="H341" s="17"/>
      <c r="I341" s="18" t="str">
        <f aca="false">IF(OR(G341="",G341=0),"",H341/G341)</f>
        <v/>
      </c>
      <c r="J341" s="12"/>
    </row>
    <row r="342" customFormat="false" ht="15" hidden="false" customHeight="false" outlineLevel="0" collapsed="false">
      <c r="A342" s="21"/>
      <c r="B342" s="7" t="str">
        <f aca="false">IF(A342="","",INT((A342-DATE(2026,11,2))/7)+1)</f>
        <v/>
      </c>
      <c r="C342" s="17"/>
      <c r="D342" s="17"/>
      <c r="E342" s="17"/>
      <c r="F342" s="17"/>
      <c r="G342" s="17"/>
      <c r="H342" s="17"/>
      <c r="I342" s="18" t="str">
        <f aca="false">IF(OR(G342="",G342=0),"",H342/G342)</f>
        <v/>
      </c>
      <c r="J342" s="12"/>
    </row>
    <row r="343" customFormat="false" ht="15" hidden="false" customHeight="false" outlineLevel="0" collapsed="false">
      <c r="A343" s="21"/>
      <c r="B343" s="7" t="str">
        <f aca="false">IF(A343="","",INT((A343-DATE(2026,11,2))/7)+1)</f>
        <v/>
      </c>
      <c r="C343" s="17"/>
      <c r="D343" s="17"/>
      <c r="E343" s="17"/>
      <c r="F343" s="17"/>
      <c r="G343" s="17"/>
      <c r="H343" s="17"/>
      <c r="I343" s="18" t="str">
        <f aca="false">IF(OR(G343="",G343=0),"",H343/G343)</f>
        <v/>
      </c>
      <c r="J343" s="12"/>
    </row>
    <row r="344" customFormat="false" ht="15" hidden="false" customHeight="false" outlineLevel="0" collapsed="false">
      <c r="A344" s="21"/>
      <c r="B344" s="7" t="str">
        <f aca="false">IF(A344="","",INT((A344-DATE(2026,11,2))/7)+1)</f>
        <v/>
      </c>
      <c r="C344" s="17"/>
      <c r="D344" s="17"/>
      <c r="E344" s="17"/>
      <c r="F344" s="17"/>
      <c r="G344" s="17"/>
      <c r="H344" s="17"/>
      <c r="I344" s="18" t="str">
        <f aca="false">IF(OR(G344="",G344=0),"",H344/G344)</f>
        <v/>
      </c>
      <c r="J344" s="12"/>
    </row>
    <row r="345" customFormat="false" ht="15" hidden="false" customHeight="false" outlineLevel="0" collapsed="false">
      <c r="A345" s="21"/>
      <c r="B345" s="7" t="str">
        <f aca="false">IF(A345="","",INT((A345-DATE(2026,11,2))/7)+1)</f>
        <v/>
      </c>
      <c r="C345" s="17"/>
      <c r="D345" s="17"/>
      <c r="E345" s="17"/>
      <c r="F345" s="17"/>
      <c r="G345" s="17"/>
      <c r="H345" s="17"/>
      <c r="I345" s="18" t="str">
        <f aca="false">IF(OR(G345="",G345=0),"",H345/G345)</f>
        <v/>
      </c>
      <c r="J345" s="12"/>
    </row>
    <row r="346" customFormat="false" ht="15" hidden="false" customHeight="false" outlineLevel="0" collapsed="false">
      <c r="A346" s="21"/>
      <c r="B346" s="7" t="str">
        <f aca="false">IF(A346="","",INT((A346-DATE(2026,11,2))/7)+1)</f>
        <v/>
      </c>
      <c r="C346" s="17"/>
      <c r="D346" s="17"/>
      <c r="E346" s="17"/>
      <c r="F346" s="17"/>
      <c r="G346" s="17"/>
      <c r="H346" s="17"/>
      <c r="I346" s="18" t="str">
        <f aca="false">IF(OR(G346="",G346=0),"",H346/G346)</f>
        <v/>
      </c>
      <c r="J346" s="12"/>
    </row>
    <row r="347" customFormat="false" ht="15" hidden="false" customHeight="false" outlineLevel="0" collapsed="false">
      <c r="A347" s="21"/>
      <c r="B347" s="7" t="str">
        <f aca="false">IF(A347="","",INT((A347-DATE(2026,11,2))/7)+1)</f>
        <v/>
      </c>
      <c r="C347" s="17"/>
      <c r="D347" s="17"/>
      <c r="E347" s="17"/>
      <c r="F347" s="17"/>
      <c r="G347" s="17"/>
      <c r="H347" s="17"/>
      <c r="I347" s="18" t="str">
        <f aca="false">IF(OR(G347="",G347=0),"",H347/G347)</f>
        <v/>
      </c>
      <c r="J347" s="12"/>
    </row>
    <row r="348" customFormat="false" ht="15" hidden="false" customHeight="false" outlineLevel="0" collapsed="false">
      <c r="A348" s="21"/>
      <c r="B348" s="7" t="str">
        <f aca="false">IF(A348="","",INT((A348-DATE(2026,11,2))/7)+1)</f>
        <v/>
      </c>
      <c r="C348" s="17"/>
      <c r="D348" s="17"/>
      <c r="E348" s="17"/>
      <c r="F348" s="17"/>
      <c r="G348" s="17"/>
      <c r="H348" s="17"/>
      <c r="I348" s="18" t="str">
        <f aca="false">IF(OR(G348="",G348=0),"",H348/G348)</f>
        <v/>
      </c>
      <c r="J348" s="12"/>
    </row>
    <row r="349" customFormat="false" ht="15" hidden="false" customHeight="false" outlineLevel="0" collapsed="false">
      <c r="A349" s="21"/>
      <c r="B349" s="7" t="str">
        <f aca="false">IF(A349="","",INT((A349-DATE(2026,11,2))/7)+1)</f>
        <v/>
      </c>
      <c r="C349" s="17"/>
      <c r="D349" s="17"/>
      <c r="E349" s="17"/>
      <c r="F349" s="17"/>
      <c r="G349" s="17"/>
      <c r="H349" s="17"/>
      <c r="I349" s="18" t="str">
        <f aca="false">IF(OR(G349="",G349=0),"",H349/G349)</f>
        <v/>
      </c>
      <c r="J349" s="12"/>
    </row>
    <row r="350" customFormat="false" ht="15" hidden="false" customHeight="false" outlineLevel="0" collapsed="false">
      <c r="A350" s="21"/>
      <c r="B350" s="7" t="str">
        <f aca="false">IF(A350="","",INT((A350-DATE(2026,11,2))/7)+1)</f>
        <v/>
      </c>
      <c r="C350" s="17"/>
      <c r="D350" s="17"/>
      <c r="E350" s="17"/>
      <c r="F350" s="17"/>
      <c r="G350" s="17"/>
      <c r="H350" s="17"/>
      <c r="I350" s="18" t="str">
        <f aca="false">IF(OR(G350="",G350=0),"",H350/G350)</f>
        <v/>
      </c>
      <c r="J350" s="12"/>
    </row>
    <row r="351" customFormat="false" ht="15" hidden="false" customHeight="false" outlineLevel="0" collapsed="false">
      <c r="A351" s="21"/>
      <c r="B351" s="7" t="str">
        <f aca="false">IF(A351="","",INT((A351-DATE(2026,11,2))/7)+1)</f>
        <v/>
      </c>
      <c r="C351" s="17"/>
      <c r="D351" s="17"/>
      <c r="E351" s="17"/>
      <c r="F351" s="17"/>
      <c r="G351" s="17"/>
      <c r="H351" s="17"/>
      <c r="I351" s="18" t="str">
        <f aca="false">IF(OR(G351="",G351=0),"",H351/G351)</f>
        <v/>
      </c>
      <c r="J351" s="12"/>
    </row>
    <row r="352" customFormat="false" ht="15" hidden="false" customHeight="false" outlineLevel="0" collapsed="false">
      <c r="A352" s="21"/>
      <c r="B352" s="7" t="str">
        <f aca="false">IF(A352="","",INT((A352-DATE(2026,11,2))/7)+1)</f>
        <v/>
      </c>
      <c r="C352" s="17"/>
      <c r="D352" s="17"/>
      <c r="E352" s="17"/>
      <c r="F352" s="17"/>
      <c r="G352" s="17"/>
      <c r="H352" s="17"/>
      <c r="I352" s="18" t="str">
        <f aca="false">IF(OR(G352="",G352=0),"",H352/G352)</f>
        <v/>
      </c>
      <c r="J352" s="12"/>
    </row>
    <row r="353" customFormat="false" ht="15" hidden="false" customHeight="false" outlineLevel="0" collapsed="false">
      <c r="A353" s="21"/>
      <c r="B353" s="7" t="str">
        <f aca="false">IF(A353="","",INT((A353-DATE(2026,11,2))/7)+1)</f>
        <v/>
      </c>
      <c r="C353" s="17"/>
      <c r="D353" s="17"/>
      <c r="E353" s="17"/>
      <c r="F353" s="17"/>
      <c r="G353" s="17"/>
      <c r="H353" s="17"/>
      <c r="I353" s="18" t="str">
        <f aca="false">IF(OR(G353="",G353=0),"",H353/G353)</f>
        <v/>
      </c>
      <c r="J353" s="12"/>
    </row>
    <row r="354" customFormat="false" ht="15" hidden="false" customHeight="false" outlineLevel="0" collapsed="false">
      <c r="A354" s="21"/>
      <c r="B354" s="7" t="str">
        <f aca="false">IF(A354="","",INT((A354-DATE(2026,11,2))/7)+1)</f>
        <v/>
      </c>
      <c r="C354" s="17"/>
      <c r="D354" s="17"/>
      <c r="E354" s="17"/>
      <c r="F354" s="17"/>
      <c r="G354" s="17"/>
      <c r="H354" s="17"/>
      <c r="I354" s="18" t="str">
        <f aca="false">IF(OR(G354="",G354=0),"",H354/G354)</f>
        <v/>
      </c>
      <c r="J354" s="12"/>
    </row>
    <row r="355" customFormat="false" ht="15" hidden="false" customHeight="false" outlineLevel="0" collapsed="false">
      <c r="A355" s="21"/>
      <c r="B355" s="7" t="str">
        <f aca="false">IF(A355="","",INT((A355-DATE(2026,11,2))/7)+1)</f>
        <v/>
      </c>
      <c r="C355" s="17"/>
      <c r="D355" s="17"/>
      <c r="E355" s="17"/>
      <c r="F355" s="17"/>
      <c r="G355" s="17"/>
      <c r="H355" s="17"/>
      <c r="I355" s="18" t="str">
        <f aca="false">IF(OR(G355="",G355=0),"",H355/G355)</f>
        <v/>
      </c>
      <c r="J355" s="12"/>
    </row>
    <row r="356" customFormat="false" ht="15" hidden="false" customHeight="false" outlineLevel="0" collapsed="false">
      <c r="A356" s="21"/>
      <c r="B356" s="7" t="str">
        <f aca="false">IF(A356="","",INT((A356-DATE(2026,11,2))/7)+1)</f>
        <v/>
      </c>
      <c r="C356" s="17"/>
      <c r="D356" s="17"/>
      <c r="E356" s="17"/>
      <c r="F356" s="17"/>
      <c r="G356" s="17"/>
      <c r="H356" s="17"/>
      <c r="I356" s="18" t="str">
        <f aca="false">IF(OR(G356="",G356=0),"",H356/G356)</f>
        <v/>
      </c>
      <c r="J356" s="12"/>
    </row>
    <row r="357" customFormat="false" ht="15" hidden="false" customHeight="false" outlineLevel="0" collapsed="false">
      <c r="A357" s="21"/>
      <c r="B357" s="7" t="str">
        <f aca="false">IF(A357="","",INT((A357-DATE(2026,11,2))/7)+1)</f>
        <v/>
      </c>
      <c r="C357" s="17"/>
      <c r="D357" s="17"/>
      <c r="E357" s="17"/>
      <c r="F357" s="17"/>
      <c r="G357" s="17"/>
      <c r="H357" s="17"/>
      <c r="I357" s="18" t="str">
        <f aca="false">IF(OR(G357="",G357=0),"",H357/G357)</f>
        <v/>
      </c>
      <c r="J357" s="12"/>
    </row>
    <row r="358" customFormat="false" ht="15" hidden="false" customHeight="false" outlineLevel="0" collapsed="false">
      <c r="A358" s="21"/>
      <c r="B358" s="7" t="str">
        <f aca="false">IF(A358="","",INT((A358-DATE(2026,11,2))/7)+1)</f>
        <v/>
      </c>
      <c r="C358" s="17"/>
      <c r="D358" s="17"/>
      <c r="E358" s="17"/>
      <c r="F358" s="17"/>
      <c r="G358" s="17"/>
      <c r="H358" s="17"/>
      <c r="I358" s="18" t="str">
        <f aca="false">IF(OR(G358="",G358=0),"",H358/G358)</f>
        <v/>
      </c>
      <c r="J358" s="12"/>
    </row>
    <row r="359" customFormat="false" ht="15" hidden="false" customHeight="false" outlineLevel="0" collapsed="false">
      <c r="A359" s="21"/>
      <c r="B359" s="7" t="str">
        <f aca="false">IF(A359="","",INT((A359-DATE(2026,11,2))/7)+1)</f>
        <v/>
      </c>
      <c r="C359" s="17"/>
      <c r="D359" s="17"/>
      <c r="E359" s="17"/>
      <c r="F359" s="17"/>
      <c r="G359" s="17"/>
      <c r="H359" s="17"/>
      <c r="I359" s="18" t="str">
        <f aca="false">IF(OR(G359="",G359=0),"",H359/G359)</f>
        <v/>
      </c>
      <c r="J359" s="12"/>
    </row>
    <row r="360" customFormat="false" ht="15" hidden="false" customHeight="false" outlineLevel="0" collapsed="false">
      <c r="A360" s="21"/>
      <c r="B360" s="7" t="str">
        <f aca="false">IF(A360="","",INT((A360-DATE(2026,11,2))/7)+1)</f>
        <v/>
      </c>
      <c r="C360" s="17"/>
      <c r="D360" s="17"/>
      <c r="E360" s="17"/>
      <c r="F360" s="17"/>
      <c r="G360" s="17"/>
      <c r="H360" s="17"/>
      <c r="I360" s="18" t="str">
        <f aca="false">IF(OR(G360="",G360=0),"",H360/G360)</f>
        <v/>
      </c>
      <c r="J360" s="12"/>
    </row>
    <row r="361" customFormat="false" ht="15" hidden="false" customHeight="false" outlineLevel="0" collapsed="false">
      <c r="A361" s="21"/>
      <c r="B361" s="7" t="str">
        <f aca="false">IF(A361="","",INT((A361-DATE(2026,11,2))/7)+1)</f>
        <v/>
      </c>
      <c r="C361" s="17"/>
      <c r="D361" s="17"/>
      <c r="E361" s="17"/>
      <c r="F361" s="17"/>
      <c r="G361" s="17"/>
      <c r="H361" s="17"/>
      <c r="I361" s="18" t="str">
        <f aca="false">IF(OR(G361="",G361=0),"",H361/G361)</f>
        <v/>
      </c>
      <c r="J361" s="12"/>
    </row>
    <row r="362" customFormat="false" ht="15" hidden="false" customHeight="false" outlineLevel="0" collapsed="false">
      <c r="A362" s="21"/>
      <c r="B362" s="7" t="str">
        <f aca="false">IF(A362="","",INT((A362-DATE(2026,11,2))/7)+1)</f>
        <v/>
      </c>
      <c r="C362" s="17"/>
      <c r="D362" s="17"/>
      <c r="E362" s="17"/>
      <c r="F362" s="17"/>
      <c r="G362" s="17"/>
      <c r="H362" s="17"/>
      <c r="I362" s="18" t="str">
        <f aca="false">IF(OR(G362="",G362=0),"",H362/G362)</f>
        <v/>
      </c>
      <c r="J362" s="12"/>
    </row>
    <row r="363" customFormat="false" ht="15" hidden="false" customHeight="false" outlineLevel="0" collapsed="false">
      <c r="A363" s="21"/>
      <c r="B363" s="7" t="str">
        <f aca="false">IF(A363="","",INT((A363-DATE(2026,11,2))/7)+1)</f>
        <v/>
      </c>
      <c r="C363" s="17"/>
      <c r="D363" s="17"/>
      <c r="E363" s="17"/>
      <c r="F363" s="17"/>
      <c r="G363" s="17"/>
      <c r="H363" s="17"/>
      <c r="I363" s="18" t="str">
        <f aca="false">IF(OR(G363="",G363=0),"",H363/G363)</f>
        <v/>
      </c>
      <c r="J363" s="12"/>
    </row>
    <row r="364" customFormat="false" ht="15" hidden="false" customHeight="false" outlineLevel="0" collapsed="false">
      <c r="A364" s="21"/>
      <c r="B364" s="7" t="str">
        <f aca="false">IF(A364="","",INT((A364-DATE(2026,11,2))/7)+1)</f>
        <v/>
      </c>
      <c r="C364" s="17"/>
      <c r="D364" s="17"/>
      <c r="E364" s="17"/>
      <c r="F364" s="17"/>
      <c r="G364" s="17"/>
      <c r="H364" s="17"/>
      <c r="I364" s="18" t="str">
        <f aca="false">IF(OR(G364="",G364=0),"",H364/G364)</f>
        <v/>
      </c>
      <c r="J364" s="12"/>
    </row>
    <row r="365" customFormat="false" ht="15" hidden="false" customHeight="false" outlineLevel="0" collapsed="false">
      <c r="A365" s="21"/>
      <c r="B365" s="7" t="str">
        <f aca="false">IF(A365="","",INT((A365-DATE(2026,11,2))/7)+1)</f>
        <v/>
      </c>
      <c r="C365" s="17"/>
      <c r="D365" s="17"/>
      <c r="E365" s="17"/>
      <c r="F365" s="17"/>
      <c r="G365" s="17"/>
      <c r="H365" s="17"/>
      <c r="I365" s="18" t="str">
        <f aca="false">IF(OR(G365="",G365=0),"",H365/G365)</f>
        <v/>
      </c>
      <c r="J365" s="12"/>
    </row>
    <row r="366" customFormat="false" ht="15" hidden="false" customHeight="false" outlineLevel="0" collapsed="false">
      <c r="A366" s="21"/>
      <c r="B366" s="7" t="str">
        <f aca="false">IF(A366="","",INT((A366-DATE(2026,11,2))/7)+1)</f>
        <v/>
      </c>
      <c r="C366" s="17"/>
      <c r="D366" s="17"/>
      <c r="E366" s="17"/>
      <c r="F366" s="17"/>
      <c r="G366" s="17"/>
      <c r="H366" s="17"/>
      <c r="I366" s="18" t="str">
        <f aca="false">IF(OR(G366="",G366=0),"",H366/G366)</f>
        <v/>
      </c>
      <c r="J366" s="12"/>
    </row>
    <row r="367" customFormat="false" ht="15" hidden="false" customHeight="false" outlineLevel="0" collapsed="false">
      <c r="A367" s="21"/>
      <c r="B367" s="7" t="str">
        <f aca="false">IF(A367="","",INT((A367-DATE(2026,11,2))/7)+1)</f>
        <v/>
      </c>
      <c r="C367" s="17"/>
      <c r="D367" s="17"/>
      <c r="E367" s="17"/>
      <c r="F367" s="17"/>
      <c r="G367" s="17"/>
      <c r="H367" s="17"/>
      <c r="I367" s="18" t="str">
        <f aca="false">IF(OR(G367="",G367=0),"",H367/G367)</f>
        <v/>
      </c>
      <c r="J367" s="12"/>
    </row>
    <row r="368" customFormat="false" ht="15" hidden="false" customHeight="false" outlineLevel="0" collapsed="false">
      <c r="A368" s="21"/>
      <c r="B368" s="7" t="str">
        <f aca="false">IF(A368="","",INT((A368-DATE(2026,11,2))/7)+1)</f>
        <v/>
      </c>
      <c r="C368" s="17"/>
      <c r="D368" s="17"/>
      <c r="E368" s="17"/>
      <c r="F368" s="17"/>
      <c r="G368" s="17"/>
      <c r="H368" s="17"/>
      <c r="I368" s="18" t="str">
        <f aca="false">IF(OR(G368="",G368=0),"",H368/G368)</f>
        <v/>
      </c>
      <c r="J368" s="12"/>
    </row>
    <row r="369" customFormat="false" ht="15" hidden="false" customHeight="false" outlineLevel="0" collapsed="false">
      <c r="A369" s="21"/>
      <c r="B369" s="7" t="str">
        <f aca="false">IF(A369="","",INT((A369-DATE(2026,11,2))/7)+1)</f>
        <v/>
      </c>
      <c r="C369" s="17"/>
      <c r="D369" s="17"/>
      <c r="E369" s="17"/>
      <c r="F369" s="17"/>
      <c r="G369" s="17"/>
      <c r="H369" s="17"/>
      <c r="I369" s="18" t="str">
        <f aca="false">IF(OR(G369="",G369=0),"",H369/G369)</f>
        <v/>
      </c>
      <c r="J369" s="12"/>
    </row>
    <row r="370" customFormat="false" ht="15" hidden="false" customHeight="false" outlineLevel="0" collapsed="false">
      <c r="A370" s="21"/>
      <c r="B370" s="7" t="str">
        <f aca="false">IF(A370="","",INT((A370-DATE(2026,11,2))/7)+1)</f>
        <v/>
      </c>
      <c r="C370" s="17"/>
      <c r="D370" s="17"/>
      <c r="E370" s="17"/>
      <c r="F370" s="17"/>
      <c r="G370" s="17"/>
      <c r="H370" s="17"/>
      <c r="I370" s="18" t="str">
        <f aca="false">IF(OR(G370="",G370=0),"",H370/G370)</f>
        <v/>
      </c>
      <c r="J370" s="12"/>
    </row>
    <row r="371" customFormat="false" ht="15" hidden="false" customHeight="false" outlineLevel="0" collapsed="false">
      <c r="A371" s="21"/>
      <c r="B371" s="7" t="str">
        <f aca="false">IF(A371="","",INT((A371-DATE(2026,11,2))/7)+1)</f>
        <v/>
      </c>
      <c r="C371" s="17"/>
      <c r="D371" s="17"/>
      <c r="E371" s="17"/>
      <c r="F371" s="17"/>
      <c r="G371" s="17"/>
      <c r="H371" s="17"/>
      <c r="I371" s="18" t="str">
        <f aca="false">IF(OR(G371="",G371=0),"",H371/G371)</f>
        <v/>
      </c>
      <c r="J371" s="12"/>
    </row>
    <row r="372" customFormat="false" ht="15" hidden="false" customHeight="false" outlineLevel="0" collapsed="false">
      <c r="A372" s="21"/>
      <c r="B372" s="7" t="str">
        <f aca="false">IF(A372="","",INT((A372-DATE(2026,11,2))/7)+1)</f>
        <v/>
      </c>
      <c r="C372" s="17"/>
      <c r="D372" s="17"/>
      <c r="E372" s="17"/>
      <c r="F372" s="17"/>
      <c r="G372" s="17"/>
      <c r="H372" s="17"/>
      <c r="I372" s="18" t="str">
        <f aca="false">IF(OR(G372="",G372=0),"",H372/G372)</f>
        <v/>
      </c>
      <c r="J372" s="12"/>
    </row>
    <row r="373" customFormat="false" ht="15" hidden="false" customHeight="false" outlineLevel="0" collapsed="false">
      <c r="A373" s="21"/>
      <c r="B373" s="7" t="str">
        <f aca="false">IF(A373="","",INT((A373-DATE(2026,11,2))/7)+1)</f>
        <v/>
      </c>
      <c r="C373" s="17"/>
      <c r="D373" s="17"/>
      <c r="E373" s="17"/>
      <c r="F373" s="17"/>
      <c r="G373" s="17"/>
      <c r="H373" s="17"/>
      <c r="I373" s="18" t="str">
        <f aca="false">IF(OR(G373="",G373=0),"",H373/G373)</f>
        <v/>
      </c>
      <c r="J373" s="12"/>
    </row>
    <row r="374" customFormat="false" ht="15" hidden="false" customHeight="false" outlineLevel="0" collapsed="false">
      <c r="A374" s="21"/>
      <c r="B374" s="7" t="str">
        <f aca="false">IF(A374="","",INT((A374-DATE(2026,11,2))/7)+1)</f>
        <v/>
      </c>
      <c r="C374" s="17"/>
      <c r="D374" s="17"/>
      <c r="E374" s="17"/>
      <c r="F374" s="17"/>
      <c r="G374" s="17"/>
      <c r="H374" s="17"/>
      <c r="I374" s="18" t="str">
        <f aca="false">IF(OR(G374="",G374=0),"",H374/G374)</f>
        <v/>
      </c>
      <c r="J374" s="12"/>
    </row>
    <row r="375" customFormat="false" ht="15" hidden="false" customHeight="false" outlineLevel="0" collapsed="false">
      <c r="A375" s="21"/>
      <c r="B375" s="7" t="str">
        <f aca="false">IF(A375="","",INT((A375-DATE(2026,11,2))/7)+1)</f>
        <v/>
      </c>
      <c r="C375" s="17"/>
      <c r="D375" s="17"/>
      <c r="E375" s="17"/>
      <c r="F375" s="17"/>
      <c r="G375" s="17"/>
      <c r="H375" s="17"/>
      <c r="I375" s="18" t="str">
        <f aca="false">IF(OR(G375="",G375=0),"",H375/G375)</f>
        <v/>
      </c>
      <c r="J375" s="12"/>
    </row>
    <row r="376" customFormat="false" ht="15" hidden="false" customHeight="false" outlineLevel="0" collapsed="false">
      <c r="A376" s="21"/>
      <c r="B376" s="7" t="str">
        <f aca="false">IF(A376="","",INT((A376-DATE(2026,11,2))/7)+1)</f>
        <v/>
      </c>
      <c r="C376" s="17"/>
      <c r="D376" s="17"/>
      <c r="E376" s="17"/>
      <c r="F376" s="17"/>
      <c r="G376" s="17"/>
      <c r="H376" s="17"/>
      <c r="I376" s="18" t="str">
        <f aca="false">IF(OR(G376="",G376=0),"",H376/G376)</f>
        <v/>
      </c>
      <c r="J376" s="12"/>
    </row>
    <row r="377" customFormat="false" ht="15" hidden="false" customHeight="false" outlineLevel="0" collapsed="false">
      <c r="A377" s="21"/>
      <c r="B377" s="7" t="str">
        <f aca="false">IF(A377="","",INT((A377-DATE(2026,11,2))/7)+1)</f>
        <v/>
      </c>
      <c r="C377" s="17"/>
      <c r="D377" s="17"/>
      <c r="E377" s="17"/>
      <c r="F377" s="17"/>
      <c r="G377" s="17"/>
      <c r="H377" s="17"/>
      <c r="I377" s="18" t="str">
        <f aca="false">IF(OR(G377="",G377=0),"",H377/G377)</f>
        <v/>
      </c>
      <c r="J377" s="12"/>
    </row>
    <row r="378" customFormat="false" ht="15" hidden="false" customHeight="false" outlineLevel="0" collapsed="false">
      <c r="A378" s="21"/>
      <c r="B378" s="7" t="str">
        <f aca="false">IF(A378="","",INT((A378-DATE(2026,11,2))/7)+1)</f>
        <v/>
      </c>
      <c r="C378" s="17"/>
      <c r="D378" s="17"/>
      <c r="E378" s="17"/>
      <c r="F378" s="17"/>
      <c r="G378" s="17"/>
      <c r="H378" s="17"/>
      <c r="I378" s="18" t="str">
        <f aca="false">IF(OR(G378="",G378=0),"",H378/G378)</f>
        <v/>
      </c>
      <c r="J378" s="12"/>
    </row>
    <row r="379" customFormat="false" ht="15" hidden="false" customHeight="false" outlineLevel="0" collapsed="false">
      <c r="A379" s="21"/>
      <c r="B379" s="7" t="str">
        <f aca="false">IF(A379="","",INT((A379-DATE(2026,11,2))/7)+1)</f>
        <v/>
      </c>
      <c r="C379" s="17"/>
      <c r="D379" s="17"/>
      <c r="E379" s="17"/>
      <c r="F379" s="17"/>
      <c r="G379" s="17"/>
      <c r="H379" s="17"/>
      <c r="I379" s="18" t="str">
        <f aca="false">IF(OR(G379="",G379=0),"",H379/G379)</f>
        <v/>
      </c>
      <c r="J379" s="12"/>
    </row>
    <row r="380" customFormat="false" ht="15" hidden="false" customHeight="false" outlineLevel="0" collapsed="false">
      <c r="A380" s="21"/>
      <c r="B380" s="7" t="str">
        <f aca="false">IF(A380="","",INT((A380-DATE(2026,11,2))/7)+1)</f>
        <v/>
      </c>
      <c r="C380" s="17"/>
      <c r="D380" s="17"/>
      <c r="E380" s="17"/>
      <c r="F380" s="17"/>
      <c r="G380" s="17"/>
      <c r="H380" s="17"/>
      <c r="I380" s="18" t="str">
        <f aca="false">IF(OR(G380="",G380=0),"",H380/G380)</f>
        <v/>
      </c>
      <c r="J380" s="12"/>
    </row>
    <row r="381" customFormat="false" ht="15" hidden="false" customHeight="false" outlineLevel="0" collapsed="false">
      <c r="A381" s="21"/>
      <c r="B381" s="7" t="str">
        <f aca="false">IF(A381="","",INT((A381-DATE(2026,11,2))/7)+1)</f>
        <v/>
      </c>
      <c r="C381" s="17"/>
      <c r="D381" s="17"/>
      <c r="E381" s="17"/>
      <c r="F381" s="17"/>
      <c r="G381" s="17"/>
      <c r="H381" s="17"/>
      <c r="I381" s="18" t="str">
        <f aca="false">IF(OR(G381="",G381=0),"",H381/G381)</f>
        <v/>
      </c>
      <c r="J381" s="12"/>
    </row>
    <row r="382" customFormat="false" ht="15" hidden="false" customHeight="false" outlineLevel="0" collapsed="false">
      <c r="A382" s="21"/>
      <c r="B382" s="7" t="str">
        <f aca="false">IF(A382="","",INT((A382-DATE(2026,11,2))/7)+1)</f>
        <v/>
      </c>
      <c r="C382" s="17"/>
      <c r="D382" s="17"/>
      <c r="E382" s="17"/>
      <c r="F382" s="17"/>
      <c r="G382" s="17"/>
      <c r="H382" s="17"/>
      <c r="I382" s="18" t="str">
        <f aca="false">IF(OR(G382="",G382=0),"",H382/G382)</f>
        <v/>
      </c>
      <c r="J382" s="12"/>
    </row>
    <row r="383" customFormat="false" ht="15" hidden="false" customHeight="false" outlineLevel="0" collapsed="false">
      <c r="A383" s="21"/>
      <c r="B383" s="7" t="str">
        <f aca="false">IF(A383="","",INT((A383-DATE(2026,11,2))/7)+1)</f>
        <v/>
      </c>
      <c r="C383" s="17"/>
      <c r="D383" s="17"/>
      <c r="E383" s="17"/>
      <c r="F383" s="17"/>
      <c r="G383" s="17"/>
      <c r="H383" s="17"/>
      <c r="I383" s="18" t="str">
        <f aca="false">IF(OR(G383="",G383=0),"",H383/G383)</f>
        <v/>
      </c>
      <c r="J383" s="12"/>
    </row>
    <row r="384" customFormat="false" ht="15" hidden="false" customHeight="false" outlineLevel="0" collapsed="false">
      <c r="A384" s="21"/>
      <c r="B384" s="7" t="str">
        <f aca="false">IF(A384="","",INT((A384-DATE(2026,11,2))/7)+1)</f>
        <v/>
      </c>
      <c r="C384" s="17"/>
      <c r="D384" s="17"/>
      <c r="E384" s="17"/>
      <c r="F384" s="17"/>
      <c r="G384" s="17"/>
      <c r="H384" s="17"/>
      <c r="I384" s="18" t="str">
        <f aca="false">IF(OR(G384="",G384=0),"",H384/G384)</f>
        <v/>
      </c>
      <c r="J384" s="12"/>
    </row>
    <row r="385" customFormat="false" ht="15" hidden="false" customHeight="false" outlineLevel="0" collapsed="false">
      <c r="A385" s="21"/>
      <c r="B385" s="7" t="str">
        <f aca="false">IF(A385="","",INT((A385-DATE(2026,11,2))/7)+1)</f>
        <v/>
      </c>
      <c r="C385" s="17"/>
      <c r="D385" s="17"/>
      <c r="E385" s="17"/>
      <c r="F385" s="17"/>
      <c r="G385" s="17"/>
      <c r="H385" s="17"/>
      <c r="I385" s="18" t="str">
        <f aca="false">IF(OR(G385="",G385=0),"",H385/G385)</f>
        <v/>
      </c>
      <c r="J385" s="12"/>
    </row>
    <row r="386" customFormat="false" ht="15" hidden="false" customHeight="false" outlineLevel="0" collapsed="false">
      <c r="A386" s="21"/>
      <c r="B386" s="7" t="str">
        <f aca="false">IF(A386="","",INT((A386-DATE(2026,11,2))/7)+1)</f>
        <v/>
      </c>
      <c r="C386" s="17"/>
      <c r="D386" s="17"/>
      <c r="E386" s="17"/>
      <c r="F386" s="17"/>
      <c r="G386" s="17"/>
      <c r="H386" s="17"/>
      <c r="I386" s="18" t="str">
        <f aca="false">IF(OR(G386="",G386=0),"",H386/G386)</f>
        <v/>
      </c>
      <c r="J386" s="12"/>
    </row>
    <row r="387" customFormat="false" ht="15" hidden="false" customHeight="false" outlineLevel="0" collapsed="false">
      <c r="A387" s="21"/>
      <c r="B387" s="7" t="str">
        <f aca="false">IF(A387="","",INT((A387-DATE(2026,11,2))/7)+1)</f>
        <v/>
      </c>
      <c r="C387" s="17"/>
      <c r="D387" s="17"/>
      <c r="E387" s="17"/>
      <c r="F387" s="17"/>
      <c r="G387" s="17"/>
      <c r="H387" s="17"/>
      <c r="I387" s="18" t="str">
        <f aca="false">IF(OR(G387="",G387=0),"",H387/G387)</f>
        <v/>
      </c>
      <c r="J387" s="12"/>
    </row>
    <row r="388" customFormat="false" ht="15" hidden="false" customHeight="false" outlineLevel="0" collapsed="false">
      <c r="A388" s="21"/>
      <c r="B388" s="7" t="str">
        <f aca="false">IF(A388="","",INT((A388-DATE(2026,11,2))/7)+1)</f>
        <v/>
      </c>
      <c r="C388" s="17"/>
      <c r="D388" s="17"/>
      <c r="E388" s="17"/>
      <c r="F388" s="17"/>
      <c r="G388" s="17"/>
      <c r="H388" s="17"/>
      <c r="I388" s="18" t="str">
        <f aca="false">IF(OR(G388="",G388=0),"",H388/G388)</f>
        <v/>
      </c>
      <c r="J388" s="12"/>
    </row>
    <row r="389" customFormat="false" ht="15" hidden="false" customHeight="false" outlineLevel="0" collapsed="false">
      <c r="A389" s="21"/>
      <c r="B389" s="7" t="str">
        <f aca="false">IF(A389="","",INT((A389-DATE(2026,11,2))/7)+1)</f>
        <v/>
      </c>
      <c r="C389" s="17"/>
      <c r="D389" s="17"/>
      <c r="E389" s="17"/>
      <c r="F389" s="17"/>
      <c r="G389" s="17"/>
      <c r="H389" s="17"/>
      <c r="I389" s="18" t="str">
        <f aca="false">IF(OR(G389="",G389=0),"",H389/G389)</f>
        <v/>
      </c>
      <c r="J389" s="12"/>
    </row>
    <row r="390" customFormat="false" ht="15" hidden="false" customHeight="false" outlineLevel="0" collapsed="false">
      <c r="A390" s="21"/>
      <c r="B390" s="7" t="str">
        <f aca="false">IF(A390="","",INT((A390-DATE(2026,11,2))/7)+1)</f>
        <v/>
      </c>
      <c r="C390" s="17"/>
      <c r="D390" s="17"/>
      <c r="E390" s="17"/>
      <c r="F390" s="17"/>
      <c r="G390" s="17"/>
      <c r="H390" s="17"/>
      <c r="I390" s="18" t="str">
        <f aca="false">IF(OR(G390="",G390=0),"",H390/G390)</f>
        <v/>
      </c>
      <c r="J390" s="12"/>
    </row>
    <row r="391" customFormat="false" ht="15" hidden="false" customHeight="false" outlineLevel="0" collapsed="false">
      <c r="A391" s="21"/>
      <c r="B391" s="7" t="str">
        <f aca="false">IF(A391="","",INT((A391-DATE(2026,11,2))/7)+1)</f>
        <v/>
      </c>
      <c r="C391" s="17"/>
      <c r="D391" s="17"/>
      <c r="E391" s="17"/>
      <c r="F391" s="17"/>
      <c r="G391" s="17"/>
      <c r="H391" s="17"/>
      <c r="I391" s="18" t="str">
        <f aca="false">IF(OR(G391="",G391=0),"",H391/G391)</f>
        <v/>
      </c>
      <c r="J391" s="12"/>
    </row>
    <row r="392" customFormat="false" ht="15" hidden="false" customHeight="false" outlineLevel="0" collapsed="false">
      <c r="A392" s="21"/>
      <c r="B392" s="7" t="str">
        <f aca="false">IF(A392="","",INT((A392-DATE(2026,11,2))/7)+1)</f>
        <v/>
      </c>
      <c r="C392" s="17"/>
      <c r="D392" s="17"/>
      <c r="E392" s="17"/>
      <c r="F392" s="17"/>
      <c r="G392" s="17"/>
      <c r="H392" s="17"/>
      <c r="I392" s="18" t="str">
        <f aca="false">IF(OR(G392="",G392=0),"",H392/G392)</f>
        <v/>
      </c>
      <c r="J392" s="12"/>
    </row>
    <row r="393" customFormat="false" ht="15" hidden="false" customHeight="false" outlineLevel="0" collapsed="false">
      <c r="A393" s="21"/>
      <c r="B393" s="7" t="str">
        <f aca="false">IF(A393="","",INT((A393-DATE(2026,11,2))/7)+1)</f>
        <v/>
      </c>
      <c r="C393" s="17"/>
      <c r="D393" s="17"/>
      <c r="E393" s="17"/>
      <c r="F393" s="17"/>
      <c r="G393" s="17"/>
      <c r="H393" s="17"/>
      <c r="I393" s="18" t="str">
        <f aca="false">IF(OR(G393="",G393=0),"",H393/G393)</f>
        <v/>
      </c>
      <c r="J393" s="12"/>
    </row>
    <row r="394" customFormat="false" ht="15" hidden="false" customHeight="false" outlineLevel="0" collapsed="false">
      <c r="A394" s="21"/>
      <c r="B394" s="7" t="str">
        <f aca="false">IF(A394="","",INT((A394-DATE(2026,11,2))/7)+1)</f>
        <v/>
      </c>
      <c r="C394" s="17"/>
      <c r="D394" s="17"/>
      <c r="E394" s="17"/>
      <c r="F394" s="17"/>
      <c r="G394" s="17"/>
      <c r="H394" s="17"/>
      <c r="I394" s="18" t="str">
        <f aca="false">IF(OR(G394="",G394=0),"",H394/G394)</f>
        <v/>
      </c>
      <c r="J394" s="12"/>
    </row>
    <row r="395" customFormat="false" ht="15" hidden="false" customHeight="false" outlineLevel="0" collapsed="false">
      <c r="A395" s="21"/>
      <c r="B395" s="7" t="str">
        <f aca="false">IF(A395="","",INT((A395-DATE(2026,11,2))/7)+1)</f>
        <v/>
      </c>
      <c r="C395" s="17"/>
      <c r="D395" s="17"/>
      <c r="E395" s="17"/>
      <c r="F395" s="17"/>
      <c r="G395" s="17"/>
      <c r="H395" s="17"/>
      <c r="I395" s="18" t="str">
        <f aca="false">IF(OR(G395="",G395=0),"",H395/G395)</f>
        <v/>
      </c>
      <c r="J395" s="12"/>
    </row>
    <row r="396" customFormat="false" ht="15" hidden="false" customHeight="false" outlineLevel="0" collapsed="false">
      <c r="A396" s="21"/>
      <c r="B396" s="7" t="str">
        <f aca="false">IF(A396="","",INT((A396-DATE(2026,11,2))/7)+1)</f>
        <v/>
      </c>
      <c r="C396" s="17"/>
      <c r="D396" s="17"/>
      <c r="E396" s="17"/>
      <c r="F396" s="17"/>
      <c r="G396" s="17"/>
      <c r="H396" s="17"/>
      <c r="I396" s="18" t="str">
        <f aca="false">IF(OR(G396="",G396=0),"",H396/G396)</f>
        <v/>
      </c>
      <c r="J396" s="12"/>
    </row>
    <row r="397" customFormat="false" ht="15" hidden="false" customHeight="false" outlineLevel="0" collapsed="false">
      <c r="A397" s="21"/>
      <c r="B397" s="7" t="str">
        <f aca="false">IF(A397="","",INT((A397-DATE(2026,11,2))/7)+1)</f>
        <v/>
      </c>
      <c r="C397" s="17"/>
      <c r="D397" s="17"/>
      <c r="E397" s="17"/>
      <c r="F397" s="17"/>
      <c r="G397" s="17"/>
      <c r="H397" s="17"/>
      <c r="I397" s="18" t="str">
        <f aca="false">IF(OR(G397="",G397=0),"",H397/G397)</f>
        <v/>
      </c>
      <c r="J397" s="12"/>
    </row>
    <row r="398" customFormat="false" ht="15" hidden="false" customHeight="false" outlineLevel="0" collapsed="false">
      <c r="A398" s="21"/>
      <c r="B398" s="7" t="str">
        <f aca="false">IF(A398="","",INT((A398-DATE(2026,11,2))/7)+1)</f>
        <v/>
      </c>
      <c r="C398" s="17"/>
      <c r="D398" s="17"/>
      <c r="E398" s="17"/>
      <c r="F398" s="17"/>
      <c r="G398" s="17"/>
      <c r="H398" s="17"/>
      <c r="I398" s="18" t="str">
        <f aca="false">IF(OR(G398="",G398=0),"",H398/G398)</f>
        <v/>
      </c>
      <c r="J398" s="12"/>
    </row>
    <row r="399" customFormat="false" ht="15" hidden="false" customHeight="false" outlineLevel="0" collapsed="false">
      <c r="A399" s="21"/>
      <c r="B399" s="7" t="str">
        <f aca="false">IF(A399="","",INT((A399-DATE(2026,11,2))/7)+1)</f>
        <v/>
      </c>
      <c r="C399" s="17"/>
      <c r="D399" s="17"/>
      <c r="E399" s="17"/>
      <c r="F399" s="17"/>
      <c r="G399" s="17"/>
      <c r="H399" s="17"/>
      <c r="I399" s="18" t="str">
        <f aca="false">IF(OR(G399="",G399=0),"",H399/G399)</f>
        <v/>
      </c>
      <c r="J399" s="12"/>
    </row>
    <row r="400" customFormat="false" ht="15" hidden="false" customHeight="false" outlineLevel="0" collapsed="false">
      <c r="A400" s="21"/>
      <c r="B400" s="7" t="str">
        <f aca="false">IF(A400="","",INT((A400-DATE(2026,11,2))/7)+1)</f>
        <v/>
      </c>
      <c r="C400" s="17"/>
      <c r="D400" s="17"/>
      <c r="E400" s="17"/>
      <c r="F400" s="17"/>
      <c r="G400" s="17"/>
      <c r="H400" s="17"/>
      <c r="I400" s="18" t="str">
        <f aca="false">IF(OR(G400="",G400=0),"",H400/G400)</f>
        <v/>
      </c>
      <c r="J400" s="12"/>
    </row>
    <row r="401" customFormat="false" ht="15" hidden="false" customHeight="false" outlineLevel="0" collapsed="false">
      <c r="A401" s="21"/>
      <c r="B401" s="7" t="str">
        <f aca="false">IF(A401="","",INT((A401-DATE(2026,11,2))/7)+1)</f>
        <v/>
      </c>
      <c r="C401" s="17"/>
      <c r="D401" s="17"/>
      <c r="E401" s="17"/>
      <c r="F401" s="17"/>
      <c r="G401" s="17"/>
      <c r="H401" s="17"/>
      <c r="I401" s="18" t="str">
        <f aca="false">IF(OR(G401="",G401=0),"",H401/G401)</f>
        <v/>
      </c>
      <c r="J401" s="12"/>
    </row>
    <row r="402" customFormat="false" ht="15" hidden="false" customHeight="false" outlineLevel="0" collapsed="false">
      <c r="A402" s="21"/>
      <c r="B402" s="7" t="str">
        <f aca="false">IF(A402="","",INT((A402-DATE(2026,11,2))/7)+1)</f>
        <v/>
      </c>
      <c r="C402" s="17"/>
      <c r="D402" s="17"/>
      <c r="E402" s="17"/>
      <c r="F402" s="17"/>
      <c r="G402" s="17"/>
      <c r="H402" s="17"/>
      <c r="I402" s="18" t="str">
        <f aca="false">IF(OR(G402="",G402=0),"",H402/G402)</f>
        <v/>
      </c>
      <c r="J402" s="12"/>
    </row>
    <row r="403" customFormat="false" ht="15" hidden="false" customHeight="false" outlineLevel="0" collapsed="false">
      <c r="A403" s="21"/>
      <c r="B403" s="7" t="str">
        <f aca="false">IF(A403="","",INT((A403-DATE(2026,11,2))/7)+1)</f>
        <v/>
      </c>
      <c r="C403" s="17"/>
      <c r="D403" s="17"/>
      <c r="E403" s="17"/>
      <c r="F403" s="17"/>
      <c r="G403" s="17"/>
      <c r="H403" s="17"/>
      <c r="I403" s="18" t="str">
        <f aca="false">IF(OR(G403="",G403=0),"",H403/G403)</f>
        <v/>
      </c>
      <c r="J403" s="12"/>
    </row>
    <row r="404" customFormat="false" ht="15" hidden="false" customHeight="false" outlineLevel="0" collapsed="false">
      <c r="A404" s="21"/>
      <c r="B404" s="7" t="str">
        <f aca="false">IF(A404="","",INT((A404-DATE(2026,11,2))/7)+1)</f>
        <v/>
      </c>
      <c r="C404" s="17"/>
      <c r="D404" s="17"/>
      <c r="E404" s="17"/>
      <c r="F404" s="17"/>
      <c r="G404" s="17"/>
      <c r="H404" s="17"/>
      <c r="I404" s="18" t="str">
        <f aca="false">IF(OR(G404="",G404=0),"",H404/G404)</f>
        <v/>
      </c>
      <c r="J404" s="12"/>
    </row>
    <row r="405" customFormat="false" ht="15" hidden="false" customHeight="false" outlineLevel="0" collapsed="false">
      <c r="A405" s="21"/>
      <c r="B405" s="7" t="str">
        <f aca="false">IF(A405="","",INT((A405-DATE(2026,11,2))/7)+1)</f>
        <v/>
      </c>
      <c r="C405" s="17"/>
      <c r="D405" s="17"/>
      <c r="E405" s="17"/>
      <c r="F405" s="17"/>
      <c r="G405" s="17"/>
      <c r="H405" s="17"/>
      <c r="I405" s="18" t="str">
        <f aca="false">IF(OR(G405="",G405=0),"",H405/G405)</f>
        <v/>
      </c>
      <c r="J405" s="12"/>
    </row>
    <row r="406" customFormat="false" ht="15" hidden="false" customHeight="false" outlineLevel="0" collapsed="false">
      <c r="A406" s="21"/>
      <c r="B406" s="7" t="str">
        <f aca="false">IF(A406="","",INT((A406-DATE(2026,11,2))/7)+1)</f>
        <v/>
      </c>
      <c r="C406" s="17"/>
      <c r="D406" s="17"/>
      <c r="E406" s="17"/>
      <c r="F406" s="17"/>
      <c r="G406" s="17"/>
      <c r="H406" s="17"/>
      <c r="I406" s="18" t="str">
        <f aca="false">IF(OR(G406="",G406=0),"",H406/G406)</f>
        <v/>
      </c>
      <c r="J406" s="12"/>
    </row>
    <row r="407" customFormat="false" ht="15" hidden="false" customHeight="false" outlineLevel="0" collapsed="false">
      <c r="A407" s="21"/>
      <c r="B407" s="7" t="str">
        <f aca="false">IF(A407="","",INT((A407-DATE(2026,11,2))/7)+1)</f>
        <v/>
      </c>
      <c r="C407" s="17"/>
      <c r="D407" s="17"/>
      <c r="E407" s="17"/>
      <c r="F407" s="17"/>
      <c r="G407" s="17"/>
      <c r="H407" s="17"/>
      <c r="I407" s="18" t="str">
        <f aca="false">IF(OR(G407="",G407=0),"",H407/G407)</f>
        <v/>
      </c>
      <c r="J407" s="12"/>
    </row>
    <row r="408" customFormat="false" ht="15" hidden="false" customHeight="false" outlineLevel="0" collapsed="false">
      <c r="A408" s="21"/>
      <c r="B408" s="7" t="str">
        <f aca="false">IF(A408="","",INT((A408-DATE(2026,11,2))/7)+1)</f>
        <v/>
      </c>
      <c r="C408" s="17"/>
      <c r="D408" s="17"/>
      <c r="E408" s="17"/>
      <c r="F408" s="17"/>
      <c r="G408" s="17"/>
      <c r="H408" s="17"/>
      <c r="I408" s="18" t="str">
        <f aca="false">IF(OR(G408="",G408=0),"",H408/G408)</f>
        <v/>
      </c>
      <c r="J408" s="12"/>
    </row>
    <row r="409" customFormat="false" ht="15" hidden="false" customHeight="false" outlineLevel="0" collapsed="false">
      <c r="A409" s="21"/>
      <c r="B409" s="7" t="str">
        <f aca="false">IF(A409="","",INT((A409-DATE(2026,11,2))/7)+1)</f>
        <v/>
      </c>
      <c r="C409" s="17"/>
      <c r="D409" s="17"/>
      <c r="E409" s="17"/>
      <c r="F409" s="17"/>
      <c r="G409" s="17"/>
      <c r="H409" s="17"/>
      <c r="I409" s="18" t="str">
        <f aca="false">IF(OR(G409="",G409=0),"",H409/G409)</f>
        <v/>
      </c>
      <c r="J409" s="12"/>
    </row>
    <row r="410" customFormat="false" ht="15" hidden="false" customHeight="false" outlineLevel="0" collapsed="false">
      <c r="A410" s="21"/>
      <c r="B410" s="7" t="str">
        <f aca="false">IF(A410="","",INT((A410-DATE(2026,11,2))/7)+1)</f>
        <v/>
      </c>
      <c r="C410" s="17"/>
      <c r="D410" s="17"/>
      <c r="E410" s="17"/>
      <c r="F410" s="17"/>
      <c r="G410" s="17"/>
      <c r="H410" s="17"/>
      <c r="I410" s="18" t="str">
        <f aca="false">IF(OR(G410="",G410=0),"",H410/G410)</f>
        <v/>
      </c>
      <c r="J410" s="12"/>
    </row>
    <row r="411" customFormat="false" ht="15" hidden="false" customHeight="false" outlineLevel="0" collapsed="false">
      <c r="A411" s="21"/>
      <c r="B411" s="7" t="str">
        <f aca="false">IF(A411="","",INT((A411-DATE(2026,11,2))/7)+1)</f>
        <v/>
      </c>
      <c r="C411" s="17"/>
      <c r="D411" s="17"/>
      <c r="E411" s="17"/>
      <c r="F411" s="17"/>
      <c r="G411" s="17"/>
      <c r="H411" s="17"/>
      <c r="I411" s="18" t="str">
        <f aca="false">IF(OR(G411="",G411=0),"",H411/G411)</f>
        <v/>
      </c>
      <c r="J411" s="12"/>
    </row>
    <row r="412" customFormat="false" ht="15" hidden="false" customHeight="false" outlineLevel="0" collapsed="false">
      <c r="A412" s="21"/>
      <c r="B412" s="7" t="str">
        <f aca="false">IF(A412="","",INT((A412-DATE(2026,11,2))/7)+1)</f>
        <v/>
      </c>
      <c r="C412" s="17"/>
      <c r="D412" s="17"/>
      <c r="E412" s="17"/>
      <c r="F412" s="17"/>
      <c r="G412" s="17"/>
      <c r="H412" s="17"/>
      <c r="I412" s="18" t="str">
        <f aca="false">IF(OR(G412="",G412=0),"",H412/G412)</f>
        <v/>
      </c>
      <c r="J412" s="12"/>
    </row>
    <row r="413" customFormat="false" ht="15" hidden="false" customHeight="false" outlineLevel="0" collapsed="false">
      <c r="A413" s="21"/>
      <c r="B413" s="7" t="str">
        <f aca="false">IF(A413="","",INT((A413-DATE(2026,11,2))/7)+1)</f>
        <v/>
      </c>
      <c r="C413" s="17"/>
      <c r="D413" s="17"/>
      <c r="E413" s="17"/>
      <c r="F413" s="17"/>
      <c r="G413" s="17"/>
      <c r="H413" s="17"/>
      <c r="I413" s="18" t="str">
        <f aca="false">IF(OR(G413="",G413=0),"",H413/G413)</f>
        <v/>
      </c>
      <c r="J413" s="12"/>
    </row>
    <row r="414" customFormat="false" ht="15" hidden="false" customHeight="false" outlineLevel="0" collapsed="false">
      <c r="A414" s="21"/>
      <c r="B414" s="7" t="str">
        <f aca="false">IF(A414="","",INT((A414-DATE(2026,11,2))/7)+1)</f>
        <v/>
      </c>
      <c r="C414" s="17"/>
      <c r="D414" s="17"/>
      <c r="E414" s="17"/>
      <c r="F414" s="17"/>
      <c r="G414" s="17"/>
      <c r="H414" s="17"/>
      <c r="I414" s="18" t="str">
        <f aca="false">IF(OR(G414="",G414=0),"",H414/G414)</f>
        <v/>
      </c>
      <c r="J414" s="12"/>
    </row>
    <row r="415" customFormat="false" ht="15" hidden="false" customHeight="false" outlineLevel="0" collapsed="false">
      <c r="A415" s="21"/>
      <c r="B415" s="7" t="str">
        <f aca="false">IF(A415="","",INT((A415-DATE(2026,11,2))/7)+1)</f>
        <v/>
      </c>
      <c r="C415" s="17"/>
      <c r="D415" s="17"/>
      <c r="E415" s="17"/>
      <c r="F415" s="17"/>
      <c r="G415" s="17"/>
      <c r="H415" s="17"/>
      <c r="I415" s="18" t="str">
        <f aca="false">IF(OR(G415="",G415=0),"",H415/G415)</f>
        <v/>
      </c>
      <c r="J415" s="12"/>
    </row>
    <row r="416" customFormat="false" ht="15" hidden="false" customHeight="false" outlineLevel="0" collapsed="false">
      <c r="A416" s="21"/>
      <c r="B416" s="7" t="str">
        <f aca="false">IF(A416="","",INT((A416-DATE(2026,11,2))/7)+1)</f>
        <v/>
      </c>
      <c r="C416" s="17"/>
      <c r="D416" s="17"/>
      <c r="E416" s="17"/>
      <c r="F416" s="17"/>
      <c r="G416" s="17"/>
      <c r="H416" s="17"/>
      <c r="I416" s="18" t="str">
        <f aca="false">IF(OR(G416="",G416=0),"",H416/G416)</f>
        <v/>
      </c>
      <c r="J416" s="12"/>
    </row>
    <row r="417" customFormat="false" ht="15" hidden="false" customHeight="false" outlineLevel="0" collapsed="false">
      <c r="A417" s="21"/>
      <c r="B417" s="7" t="str">
        <f aca="false">IF(A417="","",INT((A417-DATE(2026,11,2))/7)+1)</f>
        <v/>
      </c>
      <c r="C417" s="17"/>
      <c r="D417" s="17"/>
      <c r="E417" s="17"/>
      <c r="F417" s="17"/>
      <c r="G417" s="17"/>
      <c r="H417" s="17"/>
      <c r="I417" s="18" t="str">
        <f aca="false">IF(OR(G417="",G417=0),"",H417/G417)</f>
        <v/>
      </c>
      <c r="J417" s="12"/>
    </row>
    <row r="418" customFormat="false" ht="15" hidden="false" customHeight="false" outlineLevel="0" collapsed="false">
      <c r="A418" s="21"/>
      <c r="B418" s="7" t="str">
        <f aca="false">IF(A418="","",INT((A418-DATE(2026,11,2))/7)+1)</f>
        <v/>
      </c>
      <c r="C418" s="17"/>
      <c r="D418" s="17"/>
      <c r="E418" s="17"/>
      <c r="F418" s="17"/>
      <c r="G418" s="17"/>
      <c r="H418" s="17"/>
      <c r="I418" s="18" t="str">
        <f aca="false">IF(OR(G418="",G418=0),"",H418/G418)</f>
        <v/>
      </c>
      <c r="J418" s="12"/>
    </row>
    <row r="419" customFormat="false" ht="15" hidden="false" customHeight="false" outlineLevel="0" collapsed="false">
      <c r="A419" s="21"/>
      <c r="B419" s="7" t="str">
        <f aca="false">IF(A419="","",INT((A419-DATE(2026,11,2))/7)+1)</f>
        <v/>
      </c>
      <c r="C419" s="17"/>
      <c r="D419" s="17"/>
      <c r="E419" s="17"/>
      <c r="F419" s="17"/>
      <c r="G419" s="17"/>
      <c r="H419" s="17"/>
      <c r="I419" s="18" t="str">
        <f aca="false">IF(OR(G419="",G419=0),"",H419/G419)</f>
        <v/>
      </c>
      <c r="J419" s="12"/>
    </row>
    <row r="420" customFormat="false" ht="15" hidden="false" customHeight="false" outlineLevel="0" collapsed="false">
      <c r="A420" s="21"/>
      <c r="B420" s="7" t="str">
        <f aca="false">IF(A420="","",INT((A420-DATE(2026,11,2))/7)+1)</f>
        <v/>
      </c>
      <c r="C420" s="17"/>
      <c r="D420" s="17"/>
      <c r="E420" s="17"/>
      <c r="F420" s="17"/>
      <c r="G420" s="17"/>
      <c r="H420" s="17"/>
      <c r="I420" s="18" t="str">
        <f aca="false">IF(OR(G420="",G420=0),"",H420/G420)</f>
        <v/>
      </c>
      <c r="J420" s="12"/>
    </row>
    <row r="421" customFormat="false" ht="15" hidden="false" customHeight="false" outlineLevel="0" collapsed="false">
      <c r="A421" s="21"/>
      <c r="B421" s="7" t="str">
        <f aca="false">IF(A421="","",INT((A421-DATE(2026,11,2))/7)+1)</f>
        <v/>
      </c>
      <c r="C421" s="17"/>
      <c r="D421" s="17"/>
      <c r="E421" s="17"/>
      <c r="F421" s="17"/>
      <c r="G421" s="17"/>
      <c r="H421" s="17"/>
      <c r="I421" s="18" t="str">
        <f aca="false">IF(OR(G421="",G421=0),"",H421/G421)</f>
        <v/>
      </c>
      <c r="J421" s="12"/>
    </row>
    <row r="422" customFormat="false" ht="15" hidden="false" customHeight="false" outlineLevel="0" collapsed="false">
      <c r="A422" s="21"/>
      <c r="B422" s="7" t="str">
        <f aca="false">IF(A422="","",INT((A422-DATE(2026,11,2))/7)+1)</f>
        <v/>
      </c>
      <c r="C422" s="17"/>
      <c r="D422" s="17"/>
      <c r="E422" s="17"/>
      <c r="F422" s="17"/>
      <c r="G422" s="17"/>
      <c r="H422" s="17"/>
      <c r="I422" s="18" t="str">
        <f aca="false">IF(OR(G422="",G422=0),"",H422/G422)</f>
        <v/>
      </c>
      <c r="J422" s="12"/>
    </row>
    <row r="423" customFormat="false" ht="15" hidden="false" customHeight="false" outlineLevel="0" collapsed="false">
      <c r="A423" s="21"/>
      <c r="B423" s="7" t="str">
        <f aca="false">IF(A423="","",INT((A423-DATE(2026,11,2))/7)+1)</f>
        <v/>
      </c>
      <c r="C423" s="17"/>
      <c r="D423" s="17"/>
      <c r="E423" s="17"/>
      <c r="F423" s="17"/>
      <c r="G423" s="17"/>
      <c r="H423" s="17"/>
      <c r="I423" s="18" t="str">
        <f aca="false">IF(OR(G423="",G423=0),"",H423/G423)</f>
        <v/>
      </c>
      <c r="J423" s="12"/>
    </row>
    <row r="424" customFormat="false" ht="15" hidden="false" customHeight="false" outlineLevel="0" collapsed="false">
      <c r="A424" s="21"/>
      <c r="B424" s="7" t="str">
        <f aca="false">IF(A424="","",INT((A424-DATE(2026,11,2))/7)+1)</f>
        <v/>
      </c>
      <c r="C424" s="17"/>
      <c r="D424" s="17"/>
      <c r="E424" s="17"/>
      <c r="F424" s="17"/>
      <c r="G424" s="17"/>
      <c r="H424" s="17"/>
      <c r="I424" s="18" t="str">
        <f aca="false">IF(OR(G424="",G424=0),"",H424/G424)</f>
        <v/>
      </c>
      <c r="J424" s="12"/>
    </row>
    <row r="425" customFormat="false" ht="15" hidden="false" customHeight="false" outlineLevel="0" collapsed="false">
      <c r="A425" s="21"/>
      <c r="B425" s="7" t="str">
        <f aca="false">IF(A425="","",INT((A425-DATE(2026,11,2))/7)+1)</f>
        <v/>
      </c>
      <c r="C425" s="17"/>
      <c r="D425" s="17"/>
      <c r="E425" s="17"/>
      <c r="F425" s="17"/>
      <c r="G425" s="17"/>
      <c r="H425" s="17"/>
      <c r="I425" s="18" t="str">
        <f aca="false">IF(OR(G425="",G425=0),"",H425/G425)</f>
        <v/>
      </c>
      <c r="J425" s="12"/>
    </row>
    <row r="426" customFormat="false" ht="15" hidden="false" customHeight="false" outlineLevel="0" collapsed="false">
      <c r="A426" s="21"/>
      <c r="B426" s="7" t="str">
        <f aca="false">IF(A426="","",INT((A426-DATE(2026,11,2))/7)+1)</f>
        <v/>
      </c>
      <c r="C426" s="17"/>
      <c r="D426" s="17"/>
      <c r="E426" s="17"/>
      <c r="F426" s="17"/>
      <c r="G426" s="17"/>
      <c r="H426" s="17"/>
      <c r="I426" s="18" t="str">
        <f aca="false">IF(OR(G426="",G426=0),"",H426/G426)</f>
        <v/>
      </c>
      <c r="J426" s="12"/>
    </row>
    <row r="427" customFormat="false" ht="15" hidden="false" customHeight="false" outlineLevel="0" collapsed="false">
      <c r="A427" s="21"/>
      <c r="B427" s="7" t="str">
        <f aca="false">IF(A427="","",INT((A427-DATE(2026,11,2))/7)+1)</f>
        <v/>
      </c>
      <c r="C427" s="17"/>
      <c r="D427" s="17"/>
      <c r="E427" s="17"/>
      <c r="F427" s="17"/>
      <c r="G427" s="17"/>
      <c r="H427" s="17"/>
      <c r="I427" s="18" t="str">
        <f aca="false">IF(OR(G427="",G427=0),"",H427/G427)</f>
        <v/>
      </c>
      <c r="J427" s="12"/>
    </row>
    <row r="428" customFormat="false" ht="15" hidden="false" customHeight="false" outlineLevel="0" collapsed="false">
      <c r="A428" s="21"/>
      <c r="B428" s="7" t="str">
        <f aca="false">IF(A428="","",INT((A428-DATE(2026,11,2))/7)+1)</f>
        <v/>
      </c>
      <c r="C428" s="17"/>
      <c r="D428" s="17"/>
      <c r="E428" s="17"/>
      <c r="F428" s="17"/>
      <c r="G428" s="17"/>
      <c r="H428" s="17"/>
      <c r="I428" s="18" t="str">
        <f aca="false">IF(OR(G428="",G428=0),"",H428/G428)</f>
        <v/>
      </c>
      <c r="J428" s="12"/>
    </row>
    <row r="429" customFormat="false" ht="15" hidden="false" customHeight="false" outlineLevel="0" collapsed="false">
      <c r="A429" s="21"/>
      <c r="B429" s="7" t="str">
        <f aca="false">IF(A429="","",INT((A429-DATE(2026,11,2))/7)+1)</f>
        <v/>
      </c>
      <c r="C429" s="17"/>
      <c r="D429" s="17"/>
      <c r="E429" s="17"/>
      <c r="F429" s="17"/>
      <c r="G429" s="17"/>
      <c r="H429" s="17"/>
      <c r="I429" s="18" t="str">
        <f aca="false">IF(OR(G429="",G429=0),"",H429/G429)</f>
        <v/>
      </c>
      <c r="J429" s="12"/>
    </row>
    <row r="430" customFormat="false" ht="15" hidden="false" customHeight="false" outlineLevel="0" collapsed="false">
      <c r="A430" s="21"/>
      <c r="B430" s="7" t="str">
        <f aca="false">IF(A430="","",INT((A430-DATE(2026,11,2))/7)+1)</f>
        <v/>
      </c>
      <c r="C430" s="17"/>
      <c r="D430" s="17"/>
      <c r="E430" s="17"/>
      <c r="F430" s="17"/>
      <c r="G430" s="17"/>
      <c r="H430" s="17"/>
      <c r="I430" s="18" t="str">
        <f aca="false">IF(OR(G430="",G430=0),"",H430/G430)</f>
        <v/>
      </c>
      <c r="J430" s="12"/>
    </row>
    <row r="431" customFormat="false" ht="15" hidden="false" customHeight="false" outlineLevel="0" collapsed="false">
      <c r="A431" s="21"/>
      <c r="B431" s="7" t="str">
        <f aca="false">IF(A431="","",INT((A431-DATE(2026,11,2))/7)+1)</f>
        <v/>
      </c>
      <c r="C431" s="17"/>
      <c r="D431" s="17"/>
      <c r="E431" s="17"/>
      <c r="F431" s="17"/>
      <c r="G431" s="17"/>
      <c r="H431" s="17"/>
      <c r="I431" s="18" t="str">
        <f aca="false">IF(OR(G431="",G431=0),"",H431/G431)</f>
        <v/>
      </c>
      <c r="J431" s="12"/>
    </row>
    <row r="432" customFormat="false" ht="15" hidden="false" customHeight="false" outlineLevel="0" collapsed="false">
      <c r="A432" s="21"/>
      <c r="B432" s="7" t="str">
        <f aca="false">IF(A432="","",INT((A432-DATE(2026,11,2))/7)+1)</f>
        <v/>
      </c>
      <c r="C432" s="17"/>
      <c r="D432" s="17"/>
      <c r="E432" s="17"/>
      <c r="F432" s="17"/>
      <c r="G432" s="17"/>
      <c r="H432" s="17"/>
      <c r="I432" s="18" t="str">
        <f aca="false">IF(OR(G432="",G432=0),"",H432/G432)</f>
        <v/>
      </c>
      <c r="J432" s="12"/>
    </row>
    <row r="433" customFormat="false" ht="15" hidden="false" customHeight="false" outlineLevel="0" collapsed="false">
      <c r="A433" s="21"/>
      <c r="B433" s="7" t="str">
        <f aca="false">IF(A433="","",INT((A433-DATE(2026,11,2))/7)+1)</f>
        <v/>
      </c>
      <c r="C433" s="17"/>
      <c r="D433" s="17"/>
      <c r="E433" s="17"/>
      <c r="F433" s="17"/>
      <c r="G433" s="17"/>
      <c r="H433" s="17"/>
      <c r="I433" s="18" t="str">
        <f aca="false">IF(OR(G433="",G433=0),"",H433/G433)</f>
        <v/>
      </c>
      <c r="J433" s="12"/>
    </row>
    <row r="434" customFormat="false" ht="15" hidden="false" customHeight="false" outlineLevel="0" collapsed="false">
      <c r="A434" s="21"/>
      <c r="B434" s="7" t="str">
        <f aca="false">IF(A434="","",INT((A434-DATE(2026,11,2))/7)+1)</f>
        <v/>
      </c>
      <c r="C434" s="17"/>
      <c r="D434" s="17"/>
      <c r="E434" s="17"/>
      <c r="F434" s="17"/>
      <c r="G434" s="17"/>
      <c r="H434" s="17"/>
      <c r="I434" s="18" t="str">
        <f aca="false">IF(OR(G434="",G434=0),"",H434/G434)</f>
        <v/>
      </c>
      <c r="J434" s="12"/>
    </row>
    <row r="435" customFormat="false" ht="15" hidden="false" customHeight="false" outlineLevel="0" collapsed="false">
      <c r="A435" s="21"/>
      <c r="B435" s="7" t="str">
        <f aca="false">IF(A435="","",INT((A435-DATE(2026,11,2))/7)+1)</f>
        <v/>
      </c>
      <c r="C435" s="17"/>
      <c r="D435" s="17"/>
      <c r="E435" s="17"/>
      <c r="F435" s="17"/>
      <c r="G435" s="17"/>
      <c r="H435" s="17"/>
      <c r="I435" s="18" t="str">
        <f aca="false">IF(OR(G435="",G435=0),"",H435/G435)</f>
        <v/>
      </c>
      <c r="J435" s="12"/>
    </row>
    <row r="436" customFormat="false" ht="15" hidden="false" customHeight="false" outlineLevel="0" collapsed="false">
      <c r="A436" s="21"/>
      <c r="B436" s="7" t="str">
        <f aca="false">IF(A436="","",INT((A436-DATE(2026,11,2))/7)+1)</f>
        <v/>
      </c>
      <c r="C436" s="17"/>
      <c r="D436" s="17"/>
      <c r="E436" s="17"/>
      <c r="F436" s="17"/>
      <c r="G436" s="17"/>
      <c r="H436" s="17"/>
      <c r="I436" s="18" t="str">
        <f aca="false">IF(OR(G436="",G436=0),"",H436/G436)</f>
        <v/>
      </c>
      <c r="J436" s="12"/>
    </row>
    <row r="437" customFormat="false" ht="15" hidden="false" customHeight="false" outlineLevel="0" collapsed="false">
      <c r="A437" s="21"/>
      <c r="B437" s="7" t="str">
        <f aca="false">IF(A437="","",INT((A437-DATE(2026,11,2))/7)+1)</f>
        <v/>
      </c>
      <c r="C437" s="17"/>
      <c r="D437" s="17"/>
      <c r="E437" s="17"/>
      <c r="F437" s="17"/>
      <c r="G437" s="17"/>
      <c r="H437" s="17"/>
      <c r="I437" s="18" t="str">
        <f aca="false">IF(OR(G437="",G437=0),"",H437/G437)</f>
        <v/>
      </c>
      <c r="J437" s="12"/>
    </row>
    <row r="438" customFormat="false" ht="15" hidden="false" customHeight="false" outlineLevel="0" collapsed="false">
      <c r="A438" s="21"/>
      <c r="B438" s="7" t="str">
        <f aca="false">IF(A438="","",INT((A438-DATE(2026,11,2))/7)+1)</f>
        <v/>
      </c>
      <c r="C438" s="17"/>
      <c r="D438" s="17"/>
      <c r="E438" s="17"/>
      <c r="F438" s="17"/>
      <c r="G438" s="17"/>
      <c r="H438" s="17"/>
      <c r="I438" s="18" t="str">
        <f aca="false">IF(OR(G438="",G438=0),"",H438/G438)</f>
        <v/>
      </c>
      <c r="J438" s="12"/>
    </row>
    <row r="439" customFormat="false" ht="15" hidden="false" customHeight="false" outlineLevel="0" collapsed="false">
      <c r="A439" s="21"/>
      <c r="B439" s="7" t="str">
        <f aca="false">IF(A439="","",INT((A439-DATE(2026,11,2))/7)+1)</f>
        <v/>
      </c>
      <c r="C439" s="17"/>
      <c r="D439" s="17"/>
      <c r="E439" s="17"/>
      <c r="F439" s="17"/>
      <c r="G439" s="17"/>
      <c r="H439" s="17"/>
      <c r="I439" s="18" t="str">
        <f aca="false">IF(OR(G439="",G439=0),"",H439/G439)</f>
        <v/>
      </c>
      <c r="J439" s="12"/>
    </row>
    <row r="440" customFormat="false" ht="15" hidden="false" customHeight="false" outlineLevel="0" collapsed="false">
      <c r="A440" s="21"/>
      <c r="B440" s="7" t="str">
        <f aca="false">IF(A440="","",INT((A440-DATE(2026,11,2))/7)+1)</f>
        <v/>
      </c>
      <c r="C440" s="17"/>
      <c r="D440" s="17"/>
      <c r="E440" s="17"/>
      <c r="F440" s="17"/>
      <c r="G440" s="17"/>
      <c r="H440" s="17"/>
      <c r="I440" s="18" t="str">
        <f aca="false">IF(OR(G440="",G440=0),"",H440/G440)</f>
        <v/>
      </c>
      <c r="J440" s="12"/>
    </row>
    <row r="441" customFormat="false" ht="15" hidden="false" customHeight="false" outlineLevel="0" collapsed="false">
      <c r="A441" s="21"/>
      <c r="B441" s="7" t="str">
        <f aca="false">IF(A441="","",INT((A441-DATE(2026,11,2))/7)+1)</f>
        <v/>
      </c>
      <c r="C441" s="17"/>
      <c r="D441" s="17"/>
      <c r="E441" s="17"/>
      <c r="F441" s="17"/>
      <c r="G441" s="17"/>
      <c r="H441" s="17"/>
      <c r="I441" s="18" t="str">
        <f aca="false">IF(OR(G441="",G441=0),"",H441/G441)</f>
        <v/>
      </c>
      <c r="J441" s="12"/>
    </row>
    <row r="442" customFormat="false" ht="15" hidden="false" customHeight="false" outlineLevel="0" collapsed="false">
      <c r="A442" s="21"/>
      <c r="B442" s="7" t="str">
        <f aca="false">IF(A442="","",INT((A442-DATE(2026,11,2))/7)+1)</f>
        <v/>
      </c>
      <c r="C442" s="17"/>
      <c r="D442" s="17"/>
      <c r="E442" s="17"/>
      <c r="F442" s="17"/>
      <c r="G442" s="17"/>
      <c r="H442" s="17"/>
      <c r="I442" s="18" t="str">
        <f aca="false">IF(OR(G442="",G442=0),"",H442/G442)</f>
        <v/>
      </c>
      <c r="J442" s="12"/>
    </row>
    <row r="443" customFormat="false" ht="15" hidden="false" customHeight="false" outlineLevel="0" collapsed="false">
      <c r="A443" s="21"/>
      <c r="B443" s="7" t="str">
        <f aca="false">IF(A443="","",INT((A443-DATE(2026,11,2))/7)+1)</f>
        <v/>
      </c>
      <c r="C443" s="17"/>
      <c r="D443" s="17"/>
      <c r="E443" s="17"/>
      <c r="F443" s="17"/>
      <c r="G443" s="17"/>
      <c r="H443" s="17"/>
      <c r="I443" s="18" t="str">
        <f aca="false">IF(OR(G443="",G443=0),"",H443/G443)</f>
        <v/>
      </c>
      <c r="J443" s="12"/>
    </row>
    <row r="444" customFormat="false" ht="15" hidden="false" customHeight="false" outlineLevel="0" collapsed="false">
      <c r="A444" s="21"/>
      <c r="B444" s="7" t="str">
        <f aca="false">IF(A444="","",INT((A444-DATE(2026,11,2))/7)+1)</f>
        <v/>
      </c>
      <c r="C444" s="17"/>
      <c r="D444" s="17"/>
      <c r="E444" s="17"/>
      <c r="F444" s="17"/>
      <c r="G444" s="17"/>
      <c r="H444" s="17"/>
      <c r="I444" s="18" t="str">
        <f aca="false">IF(OR(G444="",G444=0),"",H444/G444)</f>
        <v/>
      </c>
      <c r="J444" s="12"/>
    </row>
    <row r="445" customFormat="false" ht="15" hidden="false" customHeight="false" outlineLevel="0" collapsed="false">
      <c r="A445" s="21"/>
      <c r="B445" s="7" t="str">
        <f aca="false">IF(A445="","",INT((A445-DATE(2026,11,2))/7)+1)</f>
        <v/>
      </c>
      <c r="C445" s="17"/>
      <c r="D445" s="17"/>
      <c r="E445" s="17"/>
      <c r="F445" s="17"/>
      <c r="G445" s="17"/>
      <c r="H445" s="17"/>
      <c r="I445" s="18" t="str">
        <f aca="false">IF(OR(G445="",G445=0),"",H445/G445)</f>
        <v/>
      </c>
      <c r="J445" s="12"/>
    </row>
    <row r="446" customFormat="false" ht="15" hidden="false" customHeight="false" outlineLevel="0" collapsed="false">
      <c r="A446" s="21"/>
      <c r="B446" s="7" t="str">
        <f aca="false">IF(A446="","",INT((A446-DATE(2026,11,2))/7)+1)</f>
        <v/>
      </c>
      <c r="C446" s="17"/>
      <c r="D446" s="17"/>
      <c r="E446" s="17"/>
      <c r="F446" s="17"/>
      <c r="G446" s="17"/>
      <c r="H446" s="17"/>
      <c r="I446" s="18" t="str">
        <f aca="false">IF(OR(G446="",G446=0),"",H446/G446)</f>
        <v/>
      </c>
      <c r="J446" s="12"/>
    </row>
    <row r="447" customFormat="false" ht="15" hidden="false" customHeight="false" outlineLevel="0" collapsed="false">
      <c r="A447" s="21"/>
      <c r="B447" s="7" t="str">
        <f aca="false">IF(A447="","",INT((A447-DATE(2026,11,2))/7)+1)</f>
        <v/>
      </c>
      <c r="C447" s="17"/>
      <c r="D447" s="17"/>
      <c r="E447" s="17"/>
      <c r="F447" s="17"/>
      <c r="G447" s="17"/>
      <c r="H447" s="17"/>
      <c r="I447" s="18" t="str">
        <f aca="false">IF(OR(G447="",G447=0),"",H447/G447)</f>
        <v/>
      </c>
      <c r="J447" s="12"/>
    </row>
    <row r="448" customFormat="false" ht="15" hidden="false" customHeight="false" outlineLevel="0" collapsed="false">
      <c r="A448" s="21"/>
      <c r="B448" s="7" t="str">
        <f aca="false">IF(A448="","",INT((A448-DATE(2026,11,2))/7)+1)</f>
        <v/>
      </c>
      <c r="C448" s="17"/>
      <c r="D448" s="17"/>
      <c r="E448" s="17"/>
      <c r="F448" s="17"/>
      <c r="G448" s="17"/>
      <c r="H448" s="17"/>
      <c r="I448" s="18" t="str">
        <f aca="false">IF(OR(G448="",G448=0),"",H448/G448)</f>
        <v/>
      </c>
      <c r="J448" s="12"/>
    </row>
    <row r="449" customFormat="false" ht="15" hidden="false" customHeight="false" outlineLevel="0" collapsed="false">
      <c r="A449" s="21"/>
      <c r="B449" s="7" t="str">
        <f aca="false">IF(A449="","",INT((A449-DATE(2026,11,2))/7)+1)</f>
        <v/>
      </c>
      <c r="C449" s="17"/>
      <c r="D449" s="17"/>
      <c r="E449" s="17"/>
      <c r="F449" s="17"/>
      <c r="G449" s="17"/>
      <c r="H449" s="17"/>
      <c r="I449" s="18" t="str">
        <f aca="false">IF(OR(G449="",G449=0),"",H449/G449)</f>
        <v/>
      </c>
      <c r="J449" s="12"/>
    </row>
    <row r="450" customFormat="false" ht="15" hidden="false" customHeight="false" outlineLevel="0" collapsed="false">
      <c r="A450" s="21"/>
      <c r="B450" s="7" t="str">
        <f aca="false">IF(A450="","",INT((A450-DATE(2026,11,2))/7)+1)</f>
        <v/>
      </c>
      <c r="C450" s="17"/>
      <c r="D450" s="17"/>
      <c r="E450" s="17"/>
      <c r="F450" s="17"/>
      <c r="G450" s="17"/>
      <c r="H450" s="17"/>
      <c r="I450" s="18" t="str">
        <f aca="false">IF(OR(G450="",G450=0),"",H450/G450)</f>
        <v/>
      </c>
      <c r="J450" s="12"/>
    </row>
    <row r="451" customFormat="false" ht="15" hidden="false" customHeight="false" outlineLevel="0" collapsed="false">
      <c r="A451" s="21"/>
      <c r="B451" s="7" t="str">
        <f aca="false">IF(A451="","",INT((A451-DATE(2026,11,2))/7)+1)</f>
        <v/>
      </c>
      <c r="C451" s="17"/>
      <c r="D451" s="17"/>
      <c r="E451" s="17"/>
      <c r="F451" s="17"/>
      <c r="G451" s="17"/>
      <c r="H451" s="17"/>
      <c r="I451" s="18" t="str">
        <f aca="false">IF(OR(G451="",G451=0),"",H451/G451)</f>
        <v/>
      </c>
      <c r="J451" s="12"/>
    </row>
    <row r="452" customFormat="false" ht="15" hidden="false" customHeight="false" outlineLevel="0" collapsed="false">
      <c r="A452" s="21"/>
      <c r="B452" s="7" t="str">
        <f aca="false">IF(A452="","",INT((A452-DATE(2026,11,2))/7)+1)</f>
        <v/>
      </c>
      <c r="C452" s="17"/>
      <c r="D452" s="17"/>
      <c r="E452" s="17"/>
      <c r="F452" s="17"/>
      <c r="G452" s="17"/>
      <c r="H452" s="17"/>
      <c r="I452" s="18" t="str">
        <f aca="false">IF(OR(G452="",G452=0),"",H452/G452)</f>
        <v/>
      </c>
      <c r="J452" s="12"/>
    </row>
    <row r="453" customFormat="false" ht="15" hidden="false" customHeight="false" outlineLevel="0" collapsed="false">
      <c r="A453" s="21"/>
      <c r="B453" s="7" t="str">
        <f aca="false">IF(A453="","",INT((A453-DATE(2026,11,2))/7)+1)</f>
        <v/>
      </c>
      <c r="C453" s="17"/>
      <c r="D453" s="17"/>
      <c r="E453" s="17"/>
      <c r="F453" s="17"/>
      <c r="G453" s="17"/>
      <c r="H453" s="17"/>
      <c r="I453" s="18" t="str">
        <f aca="false">IF(OR(G453="",G453=0),"",H453/G453)</f>
        <v/>
      </c>
      <c r="J453" s="12"/>
    </row>
    <row r="454" customFormat="false" ht="15" hidden="false" customHeight="false" outlineLevel="0" collapsed="false">
      <c r="A454" s="21"/>
      <c r="B454" s="7" t="str">
        <f aca="false">IF(A454="","",INT((A454-DATE(2026,11,2))/7)+1)</f>
        <v/>
      </c>
      <c r="C454" s="17"/>
      <c r="D454" s="17"/>
      <c r="E454" s="17"/>
      <c r="F454" s="17"/>
      <c r="G454" s="17"/>
      <c r="H454" s="17"/>
      <c r="I454" s="18" t="str">
        <f aca="false">IF(OR(G454="",G454=0),"",H454/G454)</f>
        <v/>
      </c>
      <c r="J454" s="12"/>
    </row>
    <row r="455" customFormat="false" ht="15" hidden="false" customHeight="false" outlineLevel="0" collapsed="false">
      <c r="A455" s="21"/>
      <c r="B455" s="7" t="str">
        <f aca="false">IF(A455="","",INT((A455-DATE(2026,11,2))/7)+1)</f>
        <v/>
      </c>
      <c r="C455" s="17"/>
      <c r="D455" s="17"/>
      <c r="E455" s="17"/>
      <c r="F455" s="17"/>
      <c r="G455" s="17"/>
      <c r="H455" s="17"/>
      <c r="I455" s="18" t="str">
        <f aca="false">IF(OR(G455="",G455=0),"",H455/G455)</f>
        <v/>
      </c>
      <c r="J455" s="12"/>
    </row>
    <row r="456" customFormat="false" ht="15" hidden="false" customHeight="false" outlineLevel="0" collapsed="false">
      <c r="A456" s="21"/>
      <c r="B456" s="7" t="str">
        <f aca="false">IF(A456="","",INT((A456-DATE(2026,11,2))/7)+1)</f>
        <v/>
      </c>
      <c r="C456" s="17"/>
      <c r="D456" s="17"/>
      <c r="E456" s="17"/>
      <c r="F456" s="17"/>
      <c r="G456" s="17"/>
      <c r="H456" s="17"/>
      <c r="I456" s="18" t="str">
        <f aca="false">IF(OR(G456="",G456=0),"",H456/G456)</f>
        <v/>
      </c>
      <c r="J456" s="12"/>
    </row>
    <row r="457" customFormat="false" ht="15" hidden="false" customHeight="false" outlineLevel="0" collapsed="false">
      <c r="A457" s="21"/>
      <c r="B457" s="7" t="str">
        <f aca="false">IF(A457="","",INT((A457-DATE(2026,11,2))/7)+1)</f>
        <v/>
      </c>
      <c r="C457" s="17"/>
      <c r="D457" s="17"/>
      <c r="E457" s="17"/>
      <c r="F457" s="17"/>
      <c r="G457" s="17"/>
      <c r="H457" s="17"/>
      <c r="I457" s="18" t="str">
        <f aca="false">IF(OR(G457="",G457=0),"",H457/G457)</f>
        <v/>
      </c>
      <c r="J457" s="12"/>
    </row>
    <row r="458" customFormat="false" ht="15" hidden="false" customHeight="false" outlineLevel="0" collapsed="false">
      <c r="A458" s="21"/>
      <c r="B458" s="7" t="str">
        <f aca="false">IF(A458="","",INT((A458-DATE(2026,11,2))/7)+1)</f>
        <v/>
      </c>
      <c r="C458" s="17"/>
      <c r="D458" s="17"/>
      <c r="E458" s="17"/>
      <c r="F458" s="17"/>
      <c r="G458" s="17"/>
      <c r="H458" s="17"/>
      <c r="I458" s="18" t="str">
        <f aca="false">IF(OR(G458="",G458=0),"",H458/G458)</f>
        <v/>
      </c>
      <c r="J458" s="12"/>
    </row>
    <row r="459" customFormat="false" ht="15" hidden="false" customHeight="false" outlineLevel="0" collapsed="false">
      <c r="A459" s="21"/>
      <c r="B459" s="7" t="str">
        <f aca="false">IF(A459="","",INT((A459-DATE(2026,11,2))/7)+1)</f>
        <v/>
      </c>
      <c r="C459" s="17"/>
      <c r="D459" s="17"/>
      <c r="E459" s="17"/>
      <c r="F459" s="17"/>
      <c r="G459" s="17"/>
      <c r="H459" s="17"/>
      <c r="I459" s="18" t="str">
        <f aca="false">IF(OR(G459="",G459=0),"",H459/G459)</f>
        <v/>
      </c>
      <c r="J459" s="12"/>
    </row>
    <row r="460" customFormat="false" ht="15" hidden="false" customHeight="false" outlineLevel="0" collapsed="false">
      <c r="A460" s="21"/>
      <c r="B460" s="7" t="str">
        <f aca="false">IF(A460="","",INT((A460-DATE(2026,11,2))/7)+1)</f>
        <v/>
      </c>
      <c r="C460" s="17"/>
      <c r="D460" s="17"/>
      <c r="E460" s="17"/>
      <c r="F460" s="17"/>
      <c r="G460" s="17"/>
      <c r="H460" s="17"/>
      <c r="I460" s="18" t="str">
        <f aca="false">IF(OR(G460="",G460=0),"",H460/G460)</f>
        <v/>
      </c>
      <c r="J460" s="12"/>
    </row>
    <row r="461" customFormat="false" ht="15" hidden="false" customHeight="false" outlineLevel="0" collapsed="false">
      <c r="A461" s="21"/>
      <c r="B461" s="7" t="str">
        <f aca="false">IF(A461="","",INT((A461-DATE(2026,11,2))/7)+1)</f>
        <v/>
      </c>
      <c r="C461" s="17"/>
      <c r="D461" s="17"/>
      <c r="E461" s="17"/>
      <c r="F461" s="17"/>
      <c r="G461" s="17"/>
      <c r="H461" s="17"/>
      <c r="I461" s="18" t="str">
        <f aca="false">IF(OR(G461="",G461=0),"",H461/G461)</f>
        <v/>
      </c>
      <c r="J461" s="12"/>
    </row>
    <row r="462" customFormat="false" ht="15" hidden="false" customHeight="false" outlineLevel="0" collapsed="false">
      <c r="A462" s="21"/>
      <c r="B462" s="7" t="str">
        <f aca="false">IF(A462="","",INT((A462-DATE(2026,11,2))/7)+1)</f>
        <v/>
      </c>
      <c r="C462" s="17"/>
      <c r="D462" s="17"/>
      <c r="E462" s="17"/>
      <c r="F462" s="17"/>
      <c r="G462" s="17"/>
      <c r="H462" s="17"/>
      <c r="I462" s="18" t="str">
        <f aca="false">IF(OR(G462="",G462=0),"",H462/G462)</f>
        <v/>
      </c>
      <c r="J462" s="12"/>
    </row>
    <row r="463" customFormat="false" ht="15" hidden="false" customHeight="false" outlineLevel="0" collapsed="false">
      <c r="A463" s="21"/>
      <c r="B463" s="7" t="str">
        <f aca="false">IF(A463="","",INT((A463-DATE(2026,11,2))/7)+1)</f>
        <v/>
      </c>
      <c r="C463" s="17"/>
      <c r="D463" s="17"/>
      <c r="E463" s="17"/>
      <c r="F463" s="17"/>
      <c r="G463" s="17"/>
      <c r="H463" s="17"/>
      <c r="I463" s="18" t="str">
        <f aca="false">IF(OR(G463="",G463=0),"",H463/G463)</f>
        <v/>
      </c>
      <c r="J463" s="12"/>
    </row>
    <row r="464" customFormat="false" ht="15" hidden="false" customHeight="false" outlineLevel="0" collapsed="false">
      <c r="A464" s="21"/>
      <c r="B464" s="7" t="str">
        <f aca="false">IF(A464="","",INT((A464-DATE(2026,11,2))/7)+1)</f>
        <v/>
      </c>
      <c r="C464" s="17"/>
      <c r="D464" s="17"/>
      <c r="E464" s="17"/>
      <c r="F464" s="17"/>
      <c r="G464" s="17"/>
      <c r="H464" s="17"/>
      <c r="I464" s="18" t="str">
        <f aca="false">IF(OR(G464="",G464=0),"",H464/G464)</f>
        <v/>
      </c>
      <c r="J464" s="12"/>
    </row>
    <row r="465" customFormat="false" ht="15" hidden="false" customHeight="false" outlineLevel="0" collapsed="false">
      <c r="A465" s="21"/>
      <c r="B465" s="7" t="str">
        <f aca="false">IF(A465="","",INT((A465-DATE(2026,11,2))/7)+1)</f>
        <v/>
      </c>
      <c r="C465" s="17"/>
      <c r="D465" s="17"/>
      <c r="E465" s="17"/>
      <c r="F465" s="17"/>
      <c r="G465" s="17"/>
      <c r="H465" s="17"/>
      <c r="I465" s="18" t="str">
        <f aca="false">IF(OR(G465="",G465=0),"",H465/G465)</f>
        <v/>
      </c>
      <c r="J465" s="12"/>
    </row>
    <row r="466" customFormat="false" ht="15" hidden="false" customHeight="false" outlineLevel="0" collapsed="false">
      <c r="A466" s="21"/>
      <c r="B466" s="7" t="str">
        <f aca="false">IF(A466="","",INT((A466-DATE(2026,11,2))/7)+1)</f>
        <v/>
      </c>
      <c r="C466" s="17"/>
      <c r="D466" s="17"/>
      <c r="E466" s="17"/>
      <c r="F466" s="17"/>
      <c r="G466" s="17"/>
      <c r="H466" s="17"/>
      <c r="I466" s="18" t="str">
        <f aca="false">IF(OR(G466="",G466=0),"",H466/G466)</f>
        <v/>
      </c>
      <c r="J466" s="12"/>
    </row>
    <row r="467" customFormat="false" ht="15" hidden="false" customHeight="false" outlineLevel="0" collapsed="false">
      <c r="A467" s="21"/>
      <c r="B467" s="7" t="str">
        <f aca="false">IF(A467="","",INT((A467-DATE(2026,11,2))/7)+1)</f>
        <v/>
      </c>
      <c r="C467" s="17"/>
      <c r="D467" s="17"/>
      <c r="E467" s="17"/>
      <c r="F467" s="17"/>
      <c r="G467" s="17"/>
      <c r="H467" s="17"/>
      <c r="I467" s="18" t="str">
        <f aca="false">IF(OR(G467="",G467=0),"",H467/G467)</f>
        <v/>
      </c>
      <c r="J467" s="12"/>
    </row>
    <row r="468" customFormat="false" ht="15" hidden="false" customHeight="false" outlineLevel="0" collapsed="false">
      <c r="A468" s="21"/>
      <c r="B468" s="7" t="str">
        <f aca="false">IF(A468="","",INT((A468-DATE(2026,11,2))/7)+1)</f>
        <v/>
      </c>
      <c r="C468" s="17"/>
      <c r="D468" s="17"/>
      <c r="E468" s="17"/>
      <c r="F468" s="17"/>
      <c r="G468" s="17"/>
      <c r="H468" s="17"/>
      <c r="I468" s="18" t="str">
        <f aca="false">IF(OR(G468="",G468=0),"",H468/G468)</f>
        <v/>
      </c>
      <c r="J468" s="12"/>
    </row>
    <row r="469" customFormat="false" ht="15" hidden="false" customHeight="false" outlineLevel="0" collapsed="false">
      <c r="A469" s="21"/>
      <c r="B469" s="7" t="str">
        <f aca="false">IF(A469="","",INT((A469-DATE(2026,11,2))/7)+1)</f>
        <v/>
      </c>
      <c r="C469" s="17"/>
      <c r="D469" s="17"/>
      <c r="E469" s="17"/>
      <c r="F469" s="17"/>
      <c r="G469" s="17"/>
      <c r="H469" s="17"/>
      <c r="I469" s="18" t="str">
        <f aca="false">IF(OR(G469="",G469=0),"",H469/G469)</f>
        <v/>
      </c>
      <c r="J469" s="12"/>
    </row>
    <row r="470" customFormat="false" ht="15" hidden="false" customHeight="false" outlineLevel="0" collapsed="false">
      <c r="A470" s="21"/>
      <c r="B470" s="7" t="str">
        <f aca="false">IF(A470="","",INT((A470-DATE(2026,11,2))/7)+1)</f>
        <v/>
      </c>
      <c r="C470" s="17"/>
      <c r="D470" s="17"/>
      <c r="E470" s="17"/>
      <c r="F470" s="17"/>
      <c r="G470" s="17"/>
      <c r="H470" s="17"/>
      <c r="I470" s="18" t="str">
        <f aca="false">IF(OR(G470="",G470=0),"",H470/G470)</f>
        <v/>
      </c>
      <c r="J470" s="12"/>
    </row>
    <row r="471" customFormat="false" ht="15" hidden="false" customHeight="false" outlineLevel="0" collapsed="false">
      <c r="A471" s="21"/>
      <c r="B471" s="7" t="str">
        <f aca="false">IF(A471="","",INT((A471-DATE(2026,11,2))/7)+1)</f>
        <v/>
      </c>
      <c r="C471" s="17"/>
      <c r="D471" s="17"/>
      <c r="E471" s="17"/>
      <c r="F471" s="17"/>
      <c r="G471" s="17"/>
      <c r="H471" s="17"/>
      <c r="I471" s="18" t="str">
        <f aca="false">IF(OR(G471="",G471=0),"",H471/G471)</f>
        <v/>
      </c>
      <c r="J471" s="12"/>
    </row>
    <row r="472" customFormat="false" ht="15" hidden="false" customHeight="false" outlineLevel="0" collapsed="false">
      <c r="A472" s="21"/>
      <c r="B472" s="7" t="str">
        <f aca="false">IF(A472="","",INT((A472-DATE(2026,11,2))/7)+1)</f>
        <v/>
      </c>
      <c r="C472" s="17"/>
      <c r="D472" s="17"/>
      <c r="E472" s="17"/>
      <c r="F472" s="17"/>
      <c r="G472" s="17"/>
      <c r="H472" s="17"/>
      <c r="I472" s="18" t="str">
        <f aca="false">IF(OR(G472="",G472=0),"",H472/G472)</f>
        <v/>
      </c>
      <c r="J472" s="12"/>
    </row>
    <row r="473" customFormat="false" ht="15" hidden="false" customHeight="false" outlineLevel="0" collapsed="false">
      <c r="A473" s="21"/>
      <c r="B473" s="7" t="str">
        <f aca="false">IF(A473="","",INT((A473-DATE(2026,11,2))/7)+1)</f>
        <v/>
      </c>
      <c r="C473" s="17"/>
      <c r="D473" s="17"/>
      <c r="E473" s="17"/>
      <c r="F473" s="17"/>
      <c r="G473" s="17"/>
      <c r="H473" s="17"/>
      <c r="I473" s="18" t="str">
        <f aca="false">IF(OR(G473="",G473=0),"",H473/G473)</f>
        <v/>
      </c>
      <c r="J473" s="12"/>
    </row>
    <row r="474" customFormat="false" ht="15" hidden="false" customHeight="false" outlineLevel="0" collapsed="false">
      <c r="A474" s="21"/>
      <c r="B474" s="7" t="str">
        <f aca="false">IF(A474="","",INT((A474-DATE(2026,11,2))/7)+1)</f>
        <v/>
      </c>
      <c r="C474" s="17"/>
      <c r="D474" s="17"/>
      <c r="E474" s="17"/>
      <c r="F474" s="17"/>
      <c r="G474" s="17"/>
      <c r="H474" s="17"/>
      <c r="I474" s="18" t="str">
        <f aca="false">IF(OR(G474="",G474=0),"",H474/G474)</f>
        <v/>
      </c>
      <c r="J474" s="12"/>
    </row>
    <row r="475" customFormat="false" ht="15" hidden="false" customHeight="false" outlineLevel="0" collapsed="false">
      <c r="A475" s="21"/>
      <c r="B475" s="7" t="str">
        <f aca="false">IF(A475="","",INT((A475-DATE(2026,11,2))/7)+1)</f>
        <v/>
      </c>
      <c r="C475" s="17"/>
      <c r="D475" s="17"/>
      <c r="E475" s="17"/>
      <c r="F475" s="17"/>
      <c r="G475" s="17"/>
      <c r="H475" s="17"/>
      <c r="I475" s="18" t="str">
        <f aca="false">IF(OR(G475="",G475=0),"",H475/G475)</f>
        <v/>
      </c>
      <c r="J475" s="12"/>
    </row>
    <row r="476" customFormat="false" ht="15" hidden="false" customHeight="false" outlineLevel="0" collapsed="false">
      <c r="A476" s="21"/>
      <c r="B476" s="7" t="str">
        <f aca="false">IF(A476="","",INT((A476-DATE(2026,11,2))/7)+1)</f>
        <v/>
      </c>
      <c r="C476" s="17"/>
      <c r="D476" s="17"/>
      <c r="E476" s="17"/>
      <c r="F476" s="17"/>
      <c r="G476" s="17"/>
      <c r="H476" s="17"/>
      <c r="I476" s="18" t="str">
        <f aca="false">IF(OR(G476="",G476=0),"",H476/G476)</f>
        <v/>
      </c>
      <c r="J476" s="12"/>
    </row>
    <row r="477" customFormat="false" ht="15" hidden="false" customHeight="false" outlineLevel="0" collapsed="false">
      <c r="A477" s="21"/>
      <c r="B477" s="7" t="str">
        <f aca="false">IF(A477="","",INT((A477-DATE(2026,11,2))/7)+1)</f>
        <v/>
      </c>
      <c r="C477" s="17"/>
      <c r="D477" s="17"/>
      <c r="E477" s="17"/>
      <c r="F477" s="17"/>
      <c r="G477" s="17"/>
      <c r="H477" s="17"/>
      <c r="I477" s="18" t="str">
        <f aca="false">IF(OR(G477="",G477=0),"",H477/G477)</f>
        <v/>
      </c>
      <c r="J477" s="12"/>
    </row>
    <row r="478" customFormat="false" ht="15" hidden="false" customHeight="false" outlineLevel="0" collapsed="false">
      <c r="A478" s="21"/>
      <c r="B478" s="7" t="str">
        <f aca="false">IF(A478="","",INT((A478-DATE(2026,11,2))/7)+1)</f>
        <v/>
      </c>
      <c r="C478" s="17"/>
      <c r="D478" s="17"/>
      <c r="E478" s="17"/>
      <c r="F478" s="17"/>
      <c r="G478" s="17"/>
      <c r="H478" s="17"/>
      <c r="I478" s="18" t="str">
        <f aca="false">IF(OR(G478="",G478=0),"",H478/G478)</f>
        <v/>
      </c>
      <c r="J478" s="12"/>
    </row>
    <row r="479" customFormat="false" ht="15" hidden="false" customHeight="false" outlineLevel="0" collapsed="false">
      <c r="A479" s="21"/>
      <c r="B479" s="7" t="str">
        <f aca="false">IF(A479="","",INT((A479-DATE(2026,11,2))/7)+1)</f>
        <v/>
      </c>
      <c r="C479" s="17"/>
      <c r="D479" s="17"/>
      <c r="E479" s="17"/>
      <c r="F479" s="17"/>
      <c r="G479" s="17"/>
      <c r="H479" s="17"/>
      <c r="I479" s="18" t="str">
        <f aca="false">IF(OR(G479="",G479=0),"",H479/G479)</f>
        <v/>
      </c>
      <c r="J479" s="12"/>
    </row>
    <row r="480" customFormat="false" ht="15" hidden="false" customHeight="false" outlineLevel="0" collapsed="false">
      <c r="A480" s="21"/>
      <c r="B480" s="7" t="str">
        <f aca="false">IF(A480="","",INT((A480-DATE(2026,11,2))/7)+1)</f>
        <v/>
      </c>
      <c r="C480" s="17"/>
      <c r="D480" s="17"/>
      <c r="E480" s="17"/>
      <c r="F480" s="17"/>
      <c r="G480" s="17"/>
      <c r="H480" s="17"/>
      <c r="I480" s="18" t="str">
        <f aca="false">IF(OR(G480="",G480=0),"",H480/G480)</f>
        <v/>
      </c>
      <c r="J480" s="12"/>
    </row>
    <row r="481" customFormat="false" ht="15" hidden="false" customHeight="false" outlineLevel="0" collapsed="false">
      <c r="A481" s="21"/>
      <c r="B481" s="7" t="str">
        <f aca="false">IF(A481="","",INT((A481-DATE(2026,11,2))/7)+1)</f>
        <v/>
      </c>
      <c r="C481" s="17"/>
      <c r="D481" s="17"/>
      <c r="E481" s="17"/>
      <c r="F481" s="17"/>
      <c r="G481" s="17"/>
      <c r="H481" s="17"/>
      <c r="I481" s="18" t="str">
        <f aca="false">IF(OR(G481="",G481=0),"",H481/G481)</f>
        <v/>
      </c>
      <c r="J481" s="12"/>
    </row>
    <row r="482" customFormat="false" ht="15" hidden="false" customHeight="false" outlineLevel="0" collapsed="false">
      <c r="A482" s="21"/>
      <c r="B482" s="7" t="str">
        <f aca="false">IF(A482="","",INT((A482-DATE(2026,11,2))/7)+1)</f>
        <v/>
      </c>
      <c r="C482" s="17"/>
      <c r="D482" s="17"/>
      <c r="E482" s="17"/>
      <c r="F482" s="17"/>
      <c r="G482" s="17"/>
      <c r="H482" s="17"/>
      <c r="I482" s="18" t="str">
        <f aca="false">IF(OR(G482="",G482=0),"",H482/G482)</f>
        <v/>
      </c>
      <c r="J482" s="12"/>
    </row>
    <row r="483" customFormat="false" ht="15" hidden="false" customHeight="false" outlineLevel="0" collapsed="false">
      <c r="A483" s="21"/>
      <c r="B483" s="7" t="str">
        <f aca="false">IF(A483="","",INT((A483-DATE(2026,11,2))/7)+1)</f>
        <v/>
      </c>
      <c r="C483" s="17"/>
      <c r="D483" s="17"/>
      <c r="E483" s="17"/>
      <c r="F483" s="17"/>
      <c r="G483" s="17"/>
      <c r="H483" s="17"/>
      <c r="I483" s="18" t="str">
        <f aca="false">IF(OR(G483="",G483=0),"",H483/G483)</f>
        <v/>
      </c>
      <c r="J483" s="12"/>
    </row>
    <row r="484" customFormat="false" ht="15" hidden="false" customHeight="false" outlineLevel="0" collapsed="false">
      <c r="A484" s="21"/>
      <c r="B484" s="7" t="str">
        <f aca="false">IF(A484="","",INT((A484-DATE(2026,11,2))/7)+1)</f>
        <v/>
      </c>
      <c r="C484" s="17"/>
      <c r="D484" s="17"/>
      <c r="E484" s="17"/>
      <c r="F484" s="17"/>
      <c r="G484" s="17"/>
      <c r="H484" s="17"/>
      <c r="I484" s="18" t="str">
        <f aca="false">IF(OR(G484="",G484=0),"",H484/G484)</f>
        <v/>
      </c>
      <c r="J484" s="12"/>
    </row>
    <row r="485" customFormat="false" ht="15" hidden="false" customHeight="false" outlineLevel="0" collapsed="false">
      <c r="A485" s="21"/>
      <c r="B485" s="7" t="str">
        <f aca="false">IF(A485="","",INT((A485-DATE(2026,11,2))/7)+1)</f>
        <v/>
      </c>
      <c r="C485" s="17"/>
      <c r="D485" s="17"/>
      <c r="E485" s="17"/>
      <c r="F485" s="17"/>
      <c r="G485" s="17"/>
      <c r="H485" s="17"/>
      <c r="I485" s="18" t="str">
        <f aca="false">IF(OR(G485="",G485=0),"",H485/G485)</f>
        <v/>
      </c>
      <c r="J485" s="12"/>
    </row>
    <row r="486" customFormat="false" ht="15" hidden="false" customHeight="false" outlineLevel="0" collapsed="false">
      <c r="A486" s="21"/>
      <c r="B486" s="7" t="str">
        <f aca="false">IF(A486="","",INT((A486-DATE(2026,11,2))/7)+1)</f>
        <v/>
      </c>
      <c r="C486" s="17"/>
      <c r="D486" s="17"/>
      <c r="E486" s="17"/>
      <c r="F486" s="17"/>
      <c r="G486" s="17"/>
      <c r="H486" s="17"/>
      <c r="I486" s="18" t="str">
        <f aca="false">IF(OR(G486="",G486=0),"",H486/G486)</f>
        <v/>
      </c>
      <c r="J486" s="12"/>
    </row>
    <row r="487" customFormat="false" ht="15" hidden="false" customHeight="false" outlineLevel="0" collapsed="false">
      <c r="A487" s="21"/>
      <c r="B487" s="7" t="str">
        <f aca="false">IF(A487="","",INT((A487-DATE(2026,11,2))/7)+1)</f>
        <v/>
      </c>
      <c r="C487" s="17"/>
      <c r="D487" s="17"/>
      <c r="E487" s="17"/>
      <c r="F487" s="17"/>
      <c r="G487" s="17"/>
      <c r="H487" s="17"/>
      <c r="I487" s="18" t="str">
        <f aca="false">IF(OR(G487="",G487=0),"",H487/G487)</f>
        <v/>
      </c>
      <c r="J487" s="12"/>
    </row>
    <row r="488" customFormat="false" ht="15" hidden="false" customHeight="false" outlineLevel="0" collapsed="false">
      <c r="A488" s="21"/>
      <c r="B488" s="7" t="str">
        <f aca="false">IF(A488="","",INT((A488-DATE(2026,11,2))/7)+1)</f>
        <v/>
      </c>
      <c r="C488" s="17"/>
      <c r="D488" s="17"/>
      <c r="E488" s="17"/>
      <c r="F488" s="17"/>
      <c r="G488" s="17"/>
      <c r="H488" s="17"/>
      <c r="I488" s="18" t="str">
        <f aca="false">IF(OR(G488="",G488=0),"",H488/G488)</f>
        <v/>
      </c>
      <c r="J488" s="12"/>
    </row>
    <row r="489" customFormat="false" ht="15" hidden="false" customHeight="false" outlineLevel="0" collapsed="false">
      <c r="A489" s="21"/>
      <c r="B489" s="7" t="str">
        <f aca="false">IF(A489="","",INT((A489-DATE(2026,11,2))/7)+1)</f>
        <v/>
      </c>
      <c r="C489" s="17"/>
      <c r="D489" s="17"/>
      <c r="E489" s="17"/>
      <c r="F489" s="17"/>
      <c r="G489" s="17"/>
      <c r="H489" s="17"/>
      <c r="I489" s="18" t="str">
        <f aca="false">IF(OR(G489="",G489=0),"",H489/G489)</f>
        <v/>
      </c>
      <c r="J489" s="12"/>
    </row>
    <row r="490" customFormat="false" ht="15" hidden="false" customHeight="false" outlineLevel="0" collapsed="false">
      <c r="A490" s="21"/>
      <c r="B490" s="7" t="str">
        <f aca="false">IF(A490="","",INT((A490-DATE(2026,11,2))/7)+1)</f>
        <v/>
      </c>
      <c r="C490" s="17"/>
      <c r="D490" s="17"/>
      <c r="E490" s="17"/>
      <c r="F490" s="17"/>
      <c r="G490" s="17"/>
      <c r="H490" s="17"/>
      <c r="I490" s="18" t="str">
        <f aca="false">IF(OR(G490="",G490=0),"",H490/G490)</f>
        <v/>
      </c>
      <c r="J490" s="12"/>
    </row>
    <row r="491" customFormat="false" ht="15" hidden="false" customHeight="false" outlineLevel="0" collapsed="false">
      <c r="A491" s="21"/>
      <c r="B491" s="7" t="str">
        <f aca="false">IF(A491="","",INT((A491-DATE(2026,11,2))/7)+1)</f>
        <v/>
      </c>
      <c r="C491" s="17"/>
      <c r="D491" s="17"/>
      <c r="E491" s="17"/>
      <c r="F491" s="17"/>
      <c r="G491" s="17"/>
      <c r="H491" s="17"/>
      <c r="I491" s="18" t="str">
        <f aca="false">IF(OR(G491="",G491=0),"",H491/G491)</f>
        <v/>
      </c>
      <c r="J491" s="12"/>
    </row>
    <row r="492" customFormat="false" ht="15" hidden="false" customHeight="false" outlineLevel="0" collapsed="false">
      <c r="A492" s="21"/>
      <c r="B492" s="7" t="str">
        <f aca="false">IF(A492="","",INT((A492-DATE(2026,11,2))/7)+1)</f>
        <v/>
      </c>
      <c r="C492" s="17"/>
      <c r="D492" s="17"/>
      <c r="E492" s="17"/>
      <c r="F492" s="17"/>
      <c r="G492" s="17"/>
      <c r="H492" s="17"/>
      <c r="I492" s="18" t="str">
        <f aca="false">IF(OR(G492="",G492=0),"",H492/G492)</f>
        <v/>
      </c>
      <c r="J492" s="12"/>
    </row>
    <row r="493" customFormat="false" ht="15" hidden="false" customHeight="false" outlineLevel="0" collapsed="false">
      <c r="A493" s="21"/>
      <c r="B493" s="7" t="str">
        <f aca="false">IF(A493="","",INT((A493-DATE(2026,11,2))/7)+1)</f>
        <v/>
      </c>
      <c r="C493" s="17"/>
      <c r="D493" s="17"/>
      <c r="E493" s="17"/>
      <c r="F493" s="17"/>
      <c r="G493" s="17"/>
      <c r="H493" s="17"/>
      <c r="I493" s="18" t="str">
        <f aca="false">IF(OR(G493="",G493=0),"",H493/G493)</f>
        <v/>
      </c>
      <c r="J493" s="12"/>
    </row>
    <row r="494" customFormat="false" ht="15" hidden="false" customHeight="false" outlineLevel="0" collapsed="false">
      <c r="A494" s="21"/>
      <c r="B494" s="7" t="str">
        <f aca="false">IF(A494="","",INT((A494-DATE(2026,11,2))/7)+1)</f>
        <v/>
      </c>
      <c r="C494" s="17"/>
      <c r="D494" s="17"/>
      <c r="E494" s="17"/>
      <c r="F494" s="17"/>
      <c r="G494" s="17"/>
      <c r="H494" s="17"/>
      <c r="I494" s="18" t="str">
        <f aca="false">IF(OR(G494="",G494=0),"",H494/G494)</f>
        <v/>
      </c>
      <c r="J494" s="12"/>
    </row>
    <row r="495" customFormat="false" ht="15" hidden="false" customHeight="false" outlineLevel="0" collapsed="false">
      <c r="A495" s="21"/>
      <c r="B495" s="7" t="str">
        <f aca="false">IF(A495="","",INT((A495-DATE(2026,11,2))/7)+1)</f>
        <v/>
      </c>
      <c r="C495" s="17"/>
      <c r="D495" s="17"/>
      <c r="E495" s="17"/>
      <c r="F495" s="17"/>
      <c r="G495" s="17"/>
      <c r="H495" s="17"/>
      <c r="I495" s="18" t="str">
        <f aca="false">IF(OR(G495="",G495=0),"",H495/G495)</f>
        <v/>
      </c>
      <c r="J495" s="12"/>
    </row>
    <row r="496" customFormat="false" ht="15" hidden="false" customHeight="false" outlineLevel="0" collapsed="false">
      <c r="A496" s="21"/>
      <c r="B496" s="7" t="str">
        <f aca="false">IF(A496="","",INT((A496-DATE(2026,11,2))/7)+1)</f>
        <v/>
      </c>
      <c r="C496" s="17"/>
      <c r="D496" s="17"/>
      <c r="E496" s="17"/>
      <c r="F496" s="17"/>
      <c r="G496" s="17"/>
      <c r="H496" s="17"/>
      <c r="I496" s="18" t="str">
        <f aca="false">IF(OR(G496="",G496=0),"",H496/G496)</f>
        <v/>
      </c>
      <c r="J496" s="12"/>
    </row>
    <row r="497" customFormat="false" ht="15" hidden="false" customHeight="false" outlineLevel="0" collapsed="false">
      <c r="A497" s="21"/>
      <c r="B497" s="7" t="str">
        <f aca="false">IF(A497="","",INT((A497-DATE(2026,11,2))/7)+1)</f>
        <v/>
      </c>
      <c r="C497" s="17"/>
      <c r="D497" s="17"/>
      <c r="E497" s="17"/>
      <c r="F497" s="17"/>
      <c r="G497" s="17"/>
      <c r="H497" s="17"/>
      <c r="I497" s="18" t="str">
        <f aca="false">IF(OR(G497="",G497=0),"",H497/G497)</f>
        <v/>
      </c>
      <c r="J497" s="12"/>
    </row>
    <row r="498" customFormat="false" ht="15" hidden="false" customHeight="false" outlineLevel="0" collapsed="false">
      <c r="A498" s="21"/>
      <c r="B498" s="7" t="str">
        <f aca="false">IF(A498="","",INT((A498-DATE(2026,11,2))/7)+1)</f>
        <v/>
      </c>
      <c r="C498" s="17"/>
      <c r="D498" s="17"/>
      <c r="E498" s="17"/>
      <c r="F498" s="17"/>
      <c r="G498" s="17"/>
      <c r="H498" s="17"/>
      <c r="I498" s="18" t="str">
        <f aca="false">IF(OR(G498="",G498=0),"",H498/G498)</f>
        <v/>
      </c>
      <c r="J498" s="12"/>
    </row>
    <row r="499" customFormat="false" ht="15" hidden="false" customHeight="false" outlineLevel="0" collapsed="false">
      <c r="A499" s="21"/>
      <c r="B499" s="7" t="str">
        <f aca="false">IF(A499="","",INT((A499-DATE(2026,11,2))/7)+1)</f>
        <v/>
      </c>
      <c r="C499" s="17"/>
      <c r="D499" s="17"/>
      <c r="E499" s="17"/>
      <c r="F499" s="17"/>
      <c r="G499" s="17"/>
      <c r="H499" s="17"/>
      <c r="I499" s="18" t="str">
        <f aca="false">IF(OR(G499="",G499=0),"",H499/G499)</f>
        <v/>
      </c>
      <c r="J499" s="12"/>
    </row>
    <row r="500" customFormat="false" ht="15" hidden="false" customHeight="false" outlineLevel="0" collapsed="false">
      <c r="A500" s="21"/>
      <c r="B500" s="7" t="str">
        <f aca="false">IF(A500="","",INT((A500-DATE(2026,11,2))/7)+1)</f>
        <v/>
      </c>
      <c r="C500" s="17"/>
      <c r="D500" s="17"/>
      <c r="E500" s="17"/>
      <c r="F500" s="17"/>
      <c r="G500" s="17"/>
      <c r="H500" s="17"/>
      <c r="I500" s="18" t="str">
        <f aca="false">IF(OR(G500="",G500=0),"",H500/G500)</f>
        <v/>
      </c>
      <c r="J500" s="12"/>
    </row>
    <row r="501" customFormat="false" ht="15" hidden="false" customHeight="false" outlineLevel="0" collapsed="false">
      <c r="A501" s="21"/>
      <c r="B501" s="7" t="str">
        <f aca="false">IF(A501="","",INT((A501-DATE(2026,11,2))/7)+1)</f>
        <v/>
      </c>
      <c r="C501" s="17"/>
      <c r="D501" s="17"/>
      <c r="E501" s="17"/>
      <c r="F501" s="17"/>
      <c r="G501" s="17"/>
      <c r="H501" s="17"/>
      <c r="I501" s="18" t="str">
        <f aca="false">IF(OR(G501="",G501=0),"",H501/G501)</f>
        <v/>
      </c>
      <c r="J501" s="12"/>
    </row>
    <row r="502" customFormat="false" ht="15" hidden="false" customHeight="false" outlineLevel="0" collapsed="false">
      <c r="A502" s="21"/>
      <c r="B502" s="7" t="str">
        <f aca="false">IF(A502="","",INT((A502-DATE(2026,11,2))/7)+1)</f>
        <v/>
      </c>
      <c r="C502" s="17"/>
      <c r="D502" s="17"/>
      <c r="E502" s="17"/>
      <c r="F502" s="17"/>
      <c r="G502" s="17"/>
      <c r="H502" s="17"/>
      <c r="I502" s="18" t="str">
        <f aca="false">IF(OR(G502="",G502=0),"",H502/G502)</f>
        <v/>
      </c>
      <c r="J502" s="12"/>
    </row>
    <row r="503" customFormat="false" ht="15" hidden="false" customHeight="false" outlineLevel="0" collapsed="false">
      <c r="A503" s="21"/>
      <c r="B503" s="7" t="str">
        <f aca="false">IF(A503="","",INT((A503-DATE(2026,11,2))/7)+1)</f>
        <v/>
      </c>
      <c r="C503" s="17"/>
      <c r="D503" s="17"/>
      <c r="E503" s="17"/>
      <c r="F503" s="17"/>
      <c r="G503" s="17"/>
      <c r="H503" s="17"/>
      <c r="I503" s="18" t="str">
        <f aca="false">IF(OR(G503="",G503=0),"",H503/G503)</f>
        <v/>
      </c>
      <c r="J503" s="12"/>
    </row>
    <row r="504" customFormat="false" ht="15" hidden="false" customHeight="false" outlineLevel="0" collapsed="false">
      <c r="A504" s="21"/>
      <c r="B504" s="7" t="str">
        <f aca="false">IF(A504="","",INT((A504-DATE(2026,11,2))/7)+1)</f>
        <v/>
      </c>
      <c r="C504" s="17"/>
      <c r="D504" s="17"/>
      <c r="E504" s="17"/>
      <c r="F504" s="17"/>
      <c r="G504" s="17"/>
      <c r="H504" s="17"/>
      <c r="I504" s="18" t="str">
        <f aca="false">IF(OR(G504="",G504=0),"",H504/G504)</f>
        <v/>
      </c>
      <c r="J504" s="12"/>
    </row>
  </sheetData>
  <dataValidations count="3">
    <dataValidation allowBlank="true" errorStyle="stop" operator="between" showDropDown="false" showErrorMessage="false" showInputMessage="false" sqref="C6:C504" type="list">
      <formula1>"Medicina Legal,Português,Direito,Revisão"</formula1>
      <formula2>0</formula2>
    </dataValidation>
    <dataValidation allowBlank="true" errorStyle="stop" operator="between" showDropDown="false" showErrorMessage="false" showInputMessage="false" sqref="D6:D504" type="list">
      <formula1>$Z$6:$Z$57</formula1>
      <formula2>0</formula2>
    </dataValidation>
    <dataValidation allowBlank="true" errorStyle="stop" operator="between" showDropDown="false" showErrorMessage="false" showInputMessage="false" sqref="E6:E504" type="list">
      <formula1>"Teoria,Questões,Revisão,Lei seca,Simulado,Flashcards"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4" min="3" style="0" width="9"/>
    <col collapsed="false" customWidth="true" hidden="false" outlineLevel="0" max="11" min="5" style="0" width="10"/>
    <col collapsed="false" customWidth="true" hidden="false" outlineLevel="0" max="12" min="12" style="0" width="12"/>
    <col collapsed="false" customWidth="true" hidden="false" outlineLevel="0" max="13" min="13" style="0" width="46"/>
  </cols>
  <sheetData>
    <row r="1" customFormat="false" ht="19.7" hidden="false" customHeight="false" outlineLevel="0" collapsed="false">
      <c r="A1" s="1" t="s">
        <v>393</v>
      </c>
    </row>
    <row r="2" customFormat="false" ht="15" hidden="false" customHeight="false" outlineLevel="0" collapsed="false">
      <c r="A2" s="2" t="s">
        <v>394</v>
      </c>
    </row>
    <row r="3" customFormat="false" ht="23.85" hidden="false" customHeight="true" outlineLevel="0" collapsed="false">
      <c r="A3" s="19" t="s">
        <v>395</v>
      </c>
      <c r="B3" s="19"/>
      <c r="C3" s="20" t="n">
        <f aca="false">Edital!B3</f>
        <v>0</v>
      </c>
      <c r="D3" s="19" t="s">
        <v>265</v>
      </c>
      <c r="E3" s="19"/>
      <c r="F3" s="16" t="n">
        <f aca="false">Edital!B4</f>
        <v>0</v>
      </c>
      <c r="G3" s="19" t="s">
        <v>396</v>
      </c>
      <c r="H3" s="25" t="n">
        <f aca="false">SUM(D7:D32)</f>
        <v>0</v>
      </c>
      <c r="I3" s="19" t="s">
        <v>397</v>
      </c>
      <c r="J3" s="19"/>
      <c r="K3" s="16" t="n">
        <f aca="false">SUM(G7:G32)</f>
        <v>0</v>
      </c>
    </row>
    <row r="6" customFormat="false" ht="35.05" hidden="false" customHeight="false" outlineLevel="0" collapsed="false">
      <c r="A6" s="6" t="s">
        <v>75</v>
      </c>
      <c r="B6" s="6" t="s">
        <v>76</v>
      </c>
      <c r="C6" s="6" t="s">
        <v>79</v>
      </c>
      <c r="D6" s="6" t="s">
        <v>398</v>
      </c>
      <c r="E6" s="6" t="s">
        <v>399</v>
      </c>
      <c r="F6" s="6" t="s">
        <v>400</v>
      </c>
      <c r="G6" s="6" t="s">
        <v>401</v>
      </c>
      <c r="H6" s="6" t="s">
        <v>402</v>
      </c>
      <c r="I6" s="6" t="s">
        <v>403</v>
      </c>
      <c r="J6" s="6" t="s">
        <v>404</v>
      </c>
      <c r="K6" s="6" t="s">
        <v>405</v>
      </c>
      <c r="L6" s="6" t="s">
        <v>406</v>
      </c>
      <c r="M6" s="6" t="s">
        <v>407</v>
      </c>
    </row>
    <row r="7" customFormat="false" ht="15" hidden="false" customHeight="false" outlineLevel="0" collapsed="false">
      <c r="A7" s="7" t="n">
        <v>1</v>
      </c>
      <c r="B7" s="7" t="s">
        <v>86</v>
      </c>
      <c r="C7" s="7" t="n">
        <v>10</v>
      </c>
      <c r="D7" s="26" t="n">
        <f aca="false">SUMIFS('Registro diário'!$F$6:$F$504,'Registro diário'!$B$6:$B$504,A7)/60</f>
        <v>0</v>
      </c>
      <c r="E7" s="18" t="str">
        <f aca="false">IF(D7=0,"",D7/C7)</f>
        <v/>
      </c>
      <c r="F7" s="7" t="n">
        <v>50</v>
      </c>
      <c r="G7" s="7" t="n">
        <f aca="false">SUMIFS('Registro diário'!$G$6:$G$504,'Registro diário'!$B$6:$B$504,A7)</f>
        <v>0</v>
      </c>
      <c r="H7" s="18" t="str">
        <f aca="false">IF(G7=0,"",SUMIFS('Registro diário'!$H$6:$H$504,'Registro diário'!$B$6:$B$504,A7)/G7)</f>
        <v/>
      </c>
      <c r="I7" s="18" t="str">
        <f aca="false">IF(SUMIFS('Registro diário'!$G$6:$G$504,'Registro diário'!$B$6:$B$504,$A7,'Registro diário'!$C$6:$C$504,"Medicina Legal")=0,"",SUMIFS('Registro diário'!$H$6:$H$504,'Registro diário'!$B$6:$B$504,$A7,'Registro diário'!$C$6:$C$504,"Medicina Legal")/SUMIFS('Registro diário'!$G$6:$G$504,'Registro diário'!$B$6:$B$504,$A7,'Registro diário'!$C$6:$C$504,"Medicina Legal"))</f>
        <v/>
      </c>
      <c r="J7" s="18" t="str">
        <f aca="false">IF(SUMIFS('Registro diário'!$G$6:$G$504,'Registro diário'!$B$6:$B$504,$A7,'Registro diário'!$C$6:$C$504,"Português")=0,"",SUMIFS('Registro diário'!$H$6:$H$504,'Registro diário'!$B$6:$B$504,$A7,'Registro diário'!$C$6:$C$504,"Português")/SUMIFS('Registro diário'!$G$6:$G$504,'Registro diário'!$B$6:$B$504,$A7,'Registro diário'!$C$6:$C$504,"Português"))</f>
        <v/>
      </c>
      <c r="K7" s="18" t="str">
        <f aca="false">IF(SUMIFS('Registro diário'!$G$6:$G$504,'Registro diário'!$B$6:$B$504,$A7,'Registro diário'!$C$6:$C$504,"Direito")=0,"",SUMIFS('Registro diário'!$H$6:$H$504,'Registro diário'!$B$6:$B$504,$A7,'Registro diário'!$C$6:$C$504,"Direito")/SUMIFS('Registro diário'!$G$6:$G$504,'Registro diário'!$B$6:$B$504,$A7,'Registro diário'!$C$6:$C$504,"Direito"))</f>
        <v/>
      </c>
      <c r="L7" s="18" t="n">
        <f aca="false">COUNTIF(Edital!$D$7:$D$57,"&lt;="&amp;A7)/51</f>
        <v>0.0588235294117647</v>
      </c>
      <c r="M7" s="8" t="str">
        <f aca="false">IF(D7=0,"",IF(IF(AND(ISNUMBER(E7),E7&lt;0.8),"Horas abaixo de 80%. ","")&amp;IF(AND(ISNUMBER(I7),I7&lt;0.6),"ML abaixo de 60%: +1 bloco. ","")&amp;IF(AND(ISNUMBER(J7),J7&lt;0.6),"Português abaixo de 60%: +1 bloco. ","")&amp;IF(AND(ISNUMBER(K7),K7&lt;0.6),"Direito abaixo de 60%: +1 bloco. ","")&amp;IF(AND(G7&gt;0,G7&lt;0.8*F7),"Questões abaixo da meta. ","")="","Dentro do plano",IF(AND(ISNUMBER(E7),E7&lt;0.8),"Horas abaixo de 80%. ","")&amp;IF(AND(ISNUMBER(I7),I7&lt;0.6),"ML abaixo de 60%: +1 bloco. ","")&amp;IF(AND(ISNUMBER(J7),J7&lt;0.6),"Português abaixo de 60%: +1 bloco. ","")&amp;IF(AND(ISNUMBER(K7),K7&lt;0.6),"Direito abaixo de 60%: +1 bloco. ","")&amp;IF(AND(G7&gt;0,G7&lt;0.8*F7),"Questões abaixo da meta. ","")))</f>
        <v/>
      </c>
    </row>
    <row r="8" customFormat="false" ht="15" hidden="false" customHeight="false" outlineLevel="0" collapsed="false">
      <c r="A8" s="7" t="n">
        <v>2</v>
      </c>
      <c r="B8" s="7" t="s">
        <v>94</v>
      </c>
      <c r="C8" s="7" t="n">
        <v>10</v>
      </c>
      <c r="D8" s="26" t="n">
        <f aca="false">SUMIFS('Registro diário'!$F$6:$F$504,'Registro diário'!$B$6:$B$504,A8)/60</f>
        <v>0</v>
      </c>
      <c r="E8" s="18" t="str">
        <f aca="false">IF(D8=0,"",D8/C8)</f>
        <v/>
      </c>
      <c r="F8" s="7" t="n">
        <v>50</v>
      </c>
      <c r="G8" s="7" t="n">
        <f aca="false">SUMIFS('Registro diário'!$G$6:$G$504,'Registro diário'!$B$6:$B$504,A8)</f>
        <v>0</v>
      </c>
      <c r="H8" s="18" t="str">
        <f aca="false">IF(G8=0,"",SUMIFS('Registro diário'!$H$6:$H$504,'Registro diário'!$B$6:$B$504,A8)/G8)</f>
        <v/>
      </c>
      <c r="I8" s="18" t="str">
        <f aca="false">IF(SUMIFS('Registro diário'!$G$6:$G$504,'Registro diário'!$B$6:$B$504,$A8,'Registro diário'!$C$6:$C$504,"Medicina Legal")=0,"",SUMIFS('Registro diário'!$H$6:$H$504,'Registro diário'!$B$6:$B$504,$A8,'Registro diário'!$C$6:$C$504,"Medicina Legal")/SUMIFS('Registro diário'!$G$6:$G$504,'Registro diário'!$B$6:$B$504,$A8,'Registro diário'!$C$6:$C$504,"Medicina Legal"))</f>
        <v/>
      </c>
      <c r="J8" s="18" t="str">
        <f aca="false">IF(SUMIFS('Registro diário'!$G$6:$G$504,'Registro diário'!$B$6:$B$504,$A8,'Registro diário'!$C$6:$C$504,"Português")=0,"",SUMIFS('Registro diário'!$H$6:$H$504,'Registro diário'!$B$6:$B$504,$A8,'Registro diário'!$C$6:$C$504,"Português")/SUMIFS('Registro diário'!$G$6:$G$504,'Registro diário'!$B$6:$B$504,$A8,'Registro diário'!$C$6:$C$504,"Português"))</f>
        <v/>
      </c>
      <c r="K8" s="18" t="str">
        <f aca="false">IF(SUMIFS('Registro diário'!$G$6:$G$504,'Registro diário'!$B$6:$B$504,$A8,'Registro diário'!$C$6:$C$504,"Direito")=0,"",SUMIFS('Registro diário'!$H$6:$H$504,'Registro diário'!$B$6:$B$504,$A8,'Registro diário'!$C$6:$C$504,"Direito")/SUMIFS('Registro diário'!$G$6:$G$504,'Registro diário'!$B$6:$B$504,$A8,'Registro diário'!$C$6:$C$504,"Direito"))</f>
        <v/>
      </c>
      <c r="L8" s="18" t="n">
        <f aca="false">COUNTIF(Edital!$D$7:$D$57,"&lt;="&amp;A8)/51</f>
        <v>0.117647058823529</v>
      </c>
      <c r="M8" s="8" t="str">
        <f aca="false">IF(D8=0,"",IF(IF(AND(ISNUMBER(E8),E8&lt;0.8),"Horas abaixo de 80%. ","")&amp;IF(AND(ISNUMBER(I8),I8&lt;0.6),"ML abaixo de 60%: +1 bloco. ","")&amp;IF(AND(ISNUMBER(J8),J8&lt;0.6),"Português abaixo de 60%: +1 bloco. ","")&amp;IF(AND(ISNUMBER(K8),K8&lt;0.6),"Direito abaixo de 60%: +1 bloco. ","")&amp;IF(AND(G8&gt;0,G8&lt;0.8*F8),"Questões abaixo da meta. ","")="","Dentro do plano",IF(AND(ISNUMBER(E8),E8&lt;0.8),"Horas abaixo de 80%. ","")&amp;IF(AND(ISNUMBER(I8),I8&lt;0.6),"ML abaixo de 60%: +1 bloco. ","")&amp;IF(AND(ISNUMBER(J8),J8&lt;0.6),"Português abaixo de 60%: +1 bloco. ","")&amp;IF(AND(ISNUMBER(K8),K8&lt;0.6),"Direito abaixo de 60%: +1 bloco. ","")&amp;IF(AND(G8&gt;0,G8&lt;0.8*F8),"Questões abaixo da meta. ","")))</f>
        <v/>
      </c>
    </row>
    <row r="9" customFormat="false" ht="15" hidden="false" customHeight="false" outlineLevel="0" collapsed="false">
      <c r="A9" s="7" t="n">
        <v>3</v>
      </c>
      <c r="B9" s="7" t="s">
        <v>100</v>
      </c>
      <c r="C9" s="7" t="n">
        <v>10</v>
      </c>
      <c r="D9" s="26" t="n">
        <f aca="false">SUMIFS('Registro diário'!$F$6:$F$504,'Registro diário'!$B$6:$B$504,A9)/60</f>
        <v>0</v>
      </c>
      <c r="E9" s="18" t="str">
        <f aca="false">IF(D9=0,"",D9/C9)</f>
        <v/>
      </c>
      <c r="F9" s="7" t="n">
        <v>50</v>
      </c>
      <c r="G9" s="7" t="n">
        <f aca="false">SUMIFS('Registro diário'!$G$6:$G$504,'Registro diário'!$B$6:$B$504,A9)</f>
        <v>0</v>
      </c>
      <c r="H9" s="18" t="str">
        <f aca="false">IF(G9=0,"",SUMIFS('Registro diário'!$H$6:$H$504,'Registro diário'!$B$6:$B$504,A9)/G9)</f>
        <v/>
      </c>
      <c r="I9" s="18" t="str">
        <f aca="false">IF(SUMIFS('Registro diário'!$G$6:$G$504,'Registro diário'!$B$6:$B$504,$A9,'Registro diário'!$C$6:$C$504,"Medicina Legal")=0,"",SUMIFS('Registro diário'!$H$6:$H$504,'Registro diário'!$B$6:$B$504,$A9,'Registro diário'!$C$6:$C$504,"Medicina Legal")/SUMIFS('Registro diário'!$G$6:$G$504,'Registro diário'!$B$6:$B$504,$A9,'Registro diário'!$C$6:$C$504,"Medicina Legal"))</f>
        <v/>
      </c>
      <c r="J9" s="18" t="str">
        <f aca="false">IF(SUMIFS('Registro diário'!$G$6:$G$504,'Registro diário'!$B$6:$B$504,$A9,'Registro diário'!$C$6:$C$504,"Português")=0,"",SUMIFS('Registro diário'!$H$6:$H$504,'Registro diário'!$B$6:$B$504,$A9,'Registro diário'!$C$6:$C$504,"Português")/SUMIFS('Registro diário'!$G$6:$G$504,'Registro diário'!$B$6:$B$504,$A9,'Registro diário'!$C$6:$C$504,"Português"))</f>
        <v/>
      </c>
      <c r="K9" s="18" t="str">
        <f aca="false">IF(SUMIFS('Registro diário'!$G$6:$G$504,'Registro diário'!$B$6:$B$504,$A9,'Registro diário'!$C$6:$C$504,"Direito")=0,"",SUMIFS('Registro diário'!$H$6:$H$504,'Registro diário'!$B$6:$B$504,$A9,'Registro diário'!$C$6:$C$504,"Direito")/SUMIFS('Registro diário'!$G$6:$G$504,'Registro diário'!$B$6:$B$504,$A9,'Registro diário'!$C$6:$C$504,"Direito"))</f>
        <v/>
      </c>
      <c r="L9" s="18" t="n">
        <f aca="false">COUNTIF(Edital!$D$7:$D$57,"&lt;="&amp;A9)/51</f>
        <v>0.176470588235294</v>
      </c>
      <c r="M9" s="8" t="str">
        <f aca="false">IF(D9=0,"",IF(IF(AND(ISNUMBER(E9),E9&lt;0.8),"Horas abaixo de 80%. ","")&amp;IF(AND(ISNUMBER(I9),I9&lt;0.6),"ML abaixo de 60%: +1 bloco. ","")&amp;IF(AND(ISNUMBER(J9),J9&lt;0.6),"Português abaixo de 60%: +1 bloco. ","")&amp;IF(AND(ISNUMBER(K9),K9&lt;0.6),"Direito abaixo de 60%: +1 bloco. ","")&amp;IF(AND(G9&gt;0,G9&lt;0.8*F9),"Questões abaixo da meta. ","")="","Dentro do plano",IF(AND(ISNUMBER(E9),E9&lt;0.8),"Horas abaixo de 80%. ","")&amp;IF(AND(ISNUMBER(I9),I9&lt;0.6),"ML abaixo de 60%: +1 bloco. ","")&amp;IF(AND(ISNUMBER(J9),J9&lt;0.6),"Português abaixo de 60%: +1 bloco. ","")&amp;IF(AND(ISNUMBER(K9),K9&lt;0.6),"Direito abaixo de 60%: +1 bloco. ","")&amp;IF(AND(G9&gt;0,G9&lt;0.8*F9),"Questões abaixo da meta. ","")))</f>
        <v/>
      </c>
    </row>
    <row r="10" customFormat="false" ht="15" hidden="false" customHeight="false" outlineLevel="0" collapsed="false">
      <c r="A10" s="7" t="n">
        <v>4</v>
      </c>
      <c r="B10" s="7" t="s">
        <v>106</v>
      </c>
      <c r="C10" s="7" t="n">
        <v>10</v>
      </c>
      <c r="D10" s="26" t="n">
        <f aca="false">SUMIFS('Registro diário'!$F$6:$F$504,'Registro diário'!$B$6:$B$504,A10)/60</f>
        <v>0</v>
      </c>
      <c r="E10" s="18" t="str">
        <f aca="false">IF(D10=0,"",D10/C10)</f>
        <v/>
      </c>
      <c r="F10" s="7" t="n">
        <v>50</v>
      </c>
      <c r="G10" s="7" t="n">
        <f aca="false">SUMIFS('Registro diário'!$G$6:$G$504,'Registro diário'!$B$6:$B$504,A10)</f>
        <v>0</v>
      </c>
      <c r="H10" s="18" t="str">
        <f aca="false">IF(G10=0,"",SUMIFS('Registro diário'!$H$6:$H$504,'Registro diário'!$B$6:$B$504,A10)/G10)</f>
        <v/>
      </c>
      <c r="I10" s="18" t="str">
        <f aca="false">IF(SUMIFS('Registro diário'!$G$6:$G$504,'Registro diário'!$B$6:$B$504,$A10,'Registro diário'!$C$6:$C$504,"Medicina Legal")=0,"",SUMIFS('Registro diário'!$H$6:$H$504,'Registro diário'!$B$6:$B$504,$A10,'Registro diário'!$C$6:$C$504,"Medicina Legal")/SUMIFS('Registro diário'!$G$6:$G$504,'Registro diário'!$B$6:$B$504,$A10,'Registro diário'!$C$6:$C$504,"Medicina Legal"))</f>
        <v/>
      </c>
      <c r="J10" s="18" t="str">
        <f aca="false">IF(SUMIFS('Registro diário'!$G$6:$G$504,'Registro diário'!$B$6:$B$504,$A10,'Registro diário'!$C$6:$C$504,"Português")=0,"",SUMIFS('Registro diário'!$H$6:$H$504,'Registro diário'!$B$6:$B$504,$A10,'Registro diário'!$C$6:$C$504,"Português")/SUMIFS('Registro diário'!$G$6:$G$504,'Registro diário'!$B$6:$B$504,$A10,'Registro diário'!$C$6:$C$504,"Português"))</f>
        <v/>
      </c>
      <c r="K10" s="18" t="str">
        <f aca="false">IF(SUMIFS('Registro diário'!$G$6:$G$504,'Registro diário'!$B$6:$B$504,$A10,'Registro diário'!$C$6:$C$504,"Direito")=0,"",SUMIFS('Registro diário'!$H$6:$H$504,'Registro diário'!$B$6:$B$504,$A10,'Registro diário'!$C$6:$C$504,"Direito")/SUMIFS('Registro diário'!$G$6:$G$504,'Registro diário'!$B$6:$B$504,$A10,'Registro diário'!$C$6:$C$504,"Direito"))</f>
        <v/>
      </c>
      <c r="L10" s="18" t="n">
        <f aca="false">COUNTIF(Edital!$D$7:$D$57,"&lt;="&amp;A10)/51</f>
        <v>0.235294117647059</v>
      </c>
      <c r="M10" s="8" t="str">
        <f aca="false">IF(D10=0,"",IF(IF(AND(ISNUMBER(E10),E10&lt;0.8),"Horas abaixo de 80%. ","")&amp;IF(AND(ISNUMBER(I10),I10&lt;0.6),"ML abaixo de 60%: +1 bloco. ","")&amp;IF(AND(ISNUMBER(J10),J10&lt;0.6),"Português abaixo de 60%: +1 bloco. ","")&amp;IF(AND(ISNUMBER(K10),K10&lt;0.6),"Direito abaixo de 60%: +1 bloco. ","")&amp;IF(AND(G10&gt;0,G10&lt;0.8*F10),"Questões abaixo da meta. ","")="","Dentro do plano",IF(AND(ISNUMBER(E10),E10&lt;0.8),"Horas abaixo de 80%. ","")&amp;IF(AND(ISNUMBER(I10),I10&lt;0.6),"ML abaixo de 60%: +1 bloco. ","")&amp;IF(AND(ISNUMBER(J10),J10&lt;0.6),"Português abaixo de 60%: +1 bloco. ","")&amp;IF(AND(ISNUMBER(K10),K10&lt;0.6),"Direito abaixo de 60%: +1 bloco. ","")&amp;IF(AND(G10&gt;0,G10&lt;0.8*F10),"Questões abaixo da meta. ","")))</f>
        <v/>
      </c>
    </row>
    <row r="11" customFormat="false" ht="15" hidden="false" customHeight="false" outlineLevel="0" collapsed="false">
      <c r="A11" s="7" t="n">
        <v>5</v>
      </c>
      <c r="B11" s="7" t="s">
        <v>113</v>
      </c>
      <c r="C11" s="7" t="n">
        <v>10</v>
      </c>
      <c r="D11" s="26" t="n">
        <f aca="false">SUMIFS('Registro diário'!$F$6:$F$504,'Registro diário'!$B$6:$B$504,A11)/60</f>
        <v>0</v>
      </c>
      <c r="E11" s="18" t="str">
        <f aca="false">IF(D11=0,"",D11/C11)</f>
        <v/>
      </c>
      <c r="F11" s="7" t="n">
        <v>50</v>
      </c>
      <c r="G11" s="7" t="n">
        <f aca="false">SUMIFS('Registro diário'!$G$6:$G$504,'Registro diário'!$B$6:$B$504,A11)</f>
        <v>0</v>
      </c>
      <c r="H11" s="18" t="str">
        <f aca="false">IF(G11=0,"",SUMIFS('Registro diário'!$H$6:$H$504,'Registro diário'!$B$6:$B$504,A11)/G11)</f>
        <v/>
      </c>
      <c r="I11" s="18" t="str">
        <f aca="false">IF(SUMIFS('Registro diário'!$G$6:$G$504,'Registro diário'!$B$6:$B$504,$A11,'Registro diário'!$C$6:$C$504,"Medicina Legal")=0,"",SUMIFS('Registro diário'!$H$6:$H$504,'Registro diário'!$B$6:$B$504,$A11,'Registro diário'!$C$6:$C$504,"Medicina Legal")/SUMIFS('Registro diário'!$G$6:$G$504,'Registro diário'!$B$6:$B$504,$A11,'Registro diário'!$C$6:$C$504,"Medicina Legal"))</f>
        <v/>
      </c>
      <c r="J11" s="18" t="str">
        <f aca="false">IF(SUMIFS('Registro diário'!$G$6:$G$504,'Registro diário'!$B$6:$B$504,$A11,'Registro diário'!$C$6:$C$504,"Português")=0,"",SUMIFS('Registro diário'!$H$6:$H$504,'Registro diário'!$B$6:$B$504,$A11,'Registro diário'!$C$6:$C$504,"Português")/SUMIFS('Registro diário'!$G$6:$G$504,'Registro diário'!$B$6:$B$504,$A11,'Registro diário'!$C$6:$C$504,"Português"))</f>
        <v/>
      </c>
      <c r="K11" s="18" t="str">
        <f aca="false">IF(SUMIFS('Registro diário'!$G$6:$G$504,'Registro diário'!$B$6:$B$504,$A11,'Registro diário'!$C$6:$C$504,"Direito")=0,"",SUMIFS('Registro diário'!$H$6:$H$504,'Registro diário'!$B$6:$B$504,$A11,'Registro diário'!$C$6:$C$504,"Direito")/SUMIFS('Registro diário'!$G$6:$G$504,'Registro diário'!$B$6:$B$504,$A11,'Registro diário'!$C$6:$C$504,"Direito"))</f>
        <v/>
      </c>
      <c r="L11" s="18" t="n">
        <f aca="false">COUNTIF(Edital!$D$7:$D$57,"&lt;="&amp;A11)/51</f>
        <v>0.294117647058824</v>
      </c>
      <c r="M11" s="8" t="str">
        <f aca="false">IF(D11=0,"",IF(IF(AND(ISNUMBER(E11),E11&lt;0.8),"Horas abaixo de 80%. ","")&amp;IF(AND(ISNUMBER(I11),I11&lt;0.6),"ML abaixo de 60%: +1 bloco. ","")&amp;IF(AND(ISNUMBER(J11),J11&lt;0.6),"Português abaixo de 60%: +1 bloco. ","")&amp;IF(AND(ISNUMBER(K11),K11&lt;0.6),"Direito abaixo de 60%: +1 bloco. ","")&amp;IF(AND(G11&gt;0,G11&lt;0.8*F11),"Questões abaixo da meta. ","")="","Dentro do plano",IF(AND(ISNUMBER(E11),E11&lt;0.8),"Horas abaixo de 80%. ","")&amp;IF(AND(ISNUMBER(I11),I11&lt;0.6),"ML abaixo de 60%: +1 bloco. ","")&amp;IF(AND(ISNUMBER(J11),J11&lt;0.6),"Português abaixo de 60%: +1 bloco. ","")&amp;IF(AND(ISNUMBER(K11),K11&lt;0.6),"Direito abaixo de 60%: +1 bloco. ","")&amp;IF(AND(G11&gt;0,G11&lt;0.8*F11),"Questões abaixo da meta. ","")))</f>
        <v/>
      </c>
    </row>
    <row r="12" customFormat="false" ht="15" hidden="false" customHeight="false" outlineLevel="0" collapsed="false">
      <c r="A12" s="7" t="n">
        <v>6</v>
      </c>
      <c r="B12" s="7" t="s">
        <v>118</v>
      </c>
      <c r="C12" s="7" t="n">
        <v>10</v>
      </c>
      <c r="D12" s="26" t="n">
        <f aca="false">SUMIFS('Registro diário'!$F$6:$F$504,'Registro diário'!$B$6:$B$504,A12)/60</f>
        <v>0</v>
      </c>
      <c r="E12" s="18" t="str">
        <f aca="false">IF(D12=0,"",D12/C12)</f>
        <v/>
      </c>
      <c r="F12" s="7" t="n">
        <v>50</v>
      </c>
      <c r="G12" s="7" t="n">
        <f aca="false">SUMIFS('Registro diário'!$G$6:$G$504,'Registro diário'!$B$6:$B$504,A12)</f>
        <v>0</v>
      </c>
      <c r="H12" s="18" t="str">
        <f aca="false">IF(G12=0,"",SUMIFS('Registro diário'!$H$6:$H$504,'Registro diário'!$B$6:$B$504,A12)/G12)</f>
        <v/>
      </c>
      <c r="I12" s="18" t="str">
        <f aca="false">IF(SUMIFS('Registro diário'!$G$6:$G$504,'Registro diário'!$B$6:$B$504,$A12,'Registro diário'!$C$6:$C$504,"Medicina Legal")=0,"",SUMIFS('Registro diário'!$H$6:$H$504,'Registro diário'!$B$6:$B$504,$A12,'Registro diário'!$C$6:$C$504,"Medicina Legal")/SUMIFS('Registro diário'!$G$6:$G$504,'Registro diário'!$B$6:$B$504,$A12,'Registro diário'!$C$6:$C$504,"Medicina Legal"))</f>
        <v/>
      </c>
      <c r="J12" s="18" t="str">
        <f aca="false">IF(SUMIFS('Registro diário'!$G$6:$G$504,'Registro diário'!$B$6:$B$504,$A12,'Registro diário'!$C$6:$C$504,"Português")=0,"",SUMIFS('Registro diário'!$H$6:$H$504,'Registro diário'!$B$6:$B$504,$A12,'Registro diário'!$C$6:$C$504,"Português")/SUMIFS('Registro diário'!$G$6:$G$504,'Registro diário'!$B$6:$B$504,$A12,'Registro diário'!$C$6:$C$504,"Português"))</f>
        <v/>
      </c>
      <c r="K12" s="18" t="str">
        <f aca="false">IF(SUMIFS('Registro diário'!$G$6:$G$504,'Registro diário'!$B$6:$B$504,$A12,'Registro diário'!$C$6:$C$504,"Direito")=0,"",SUMIFS('Registro diário'!$H$6:$H$504,'Registro diário'!$B$6:$B$504,$A12,'Registro diário'!$C$6:$C$504,"Direito")/SUMIFS('Registro diário'!$G$6:$G$504,'Registro diário'!$B$6:$B$504,$A12,'Registro diário'!$C$6:$C$504,"Direito"))</f>
        <v/>
      </c>
      <c r="L12" s="18" t="n">
        <f aca="false">COUNTIF(Edital!$D$7:$D$57,"&lt;="&amp;A12)/51</f>
        <v>0.352941176470588</v>
      </c>
      <c r="M12" s="8" t="str">
        <f aca="false">IF(D12=0,"",IF(IF(AND(ISNUMBER(E12),E12&lt;0.8),"Horas abaixo de 80%. ","")&amp;IF(AND(ISNUMBER(I12),I12&lt;0.6),"ML abaixo de 60%: +1 bloco. ","")&amp;IF(AND(ISNUMBER(J12),J12&lt;0.6),"Português abaixo de 60%: +1 bloco. ","")&amp;IF(AND(ISNUMBER(K12),K12&lt;0.6),"Direito abaixo de 60%: +1 bloco. ","")&amp;IF(AND(G12&gt;0,G12&lt;0.8*F12),"Questões abaixo da meta. ","")="","Dentro do plano",IF(AND(ISNUMBER(E12),E12&lt;0.8),"Horas abaixo de 80%. ","")&amp;IF(AND(ISNUMBER(I12),I12&lt;0.6),"ML abaixo de 60%: +1 bloco. ","")&amp;IF(AND(ISNUMBER(J12),J12&lt;0.6),"Português abaixo de 60%: +1 bloco. ","")&amp;IF(AND(ISNUMBER(K12),K12&lt;0.6),"Direito abaixo de 60%: +1 bloco. ","")&amp;IF(AND(G12&gt;0,G12&lt;0.8*F12),"Questões abaixo da meta. ","")))</f>
        <v/>
      </c>
    </row>
    <row r="13" customFormat="false" ht="15" hidden="false" customHeight="false" outlineLevel="0" collapsed="false">
      <c r="A13" s="7" t="n">
        <v>7</v>
      </c>
      <c r="B13" s="7" t="s">
        <v>124</v>
      </c>
      <c r="C13" s="7" t="n">
        <v>10</v>
      </c>
      <c r="D13" s="26" t="n">
        <f aca="false">SUMIFS('Registro diário'!$F$6:$F$504,'Registro diário'!$B$6:$B$504,A13)/60</f>
        <v>0</v>
      </c>
      <c r="E13" s="18" t="str">
        <f aca="false">IF(D13=0,"",D13/C13)</f>
        <v/>
      </c>
      <c r="F13" s="7" t="n">
        <v>50</v>
      </c>
      <c r="G13" s="7" t="n">
        <f aca="false">SUMIFS('Registro diário'!$G$6:$G$504,'Registro diário'!$B$6:$B$504,A13)</f>
        <v>0</v>
      </c>
      <c r="H13" s="18" t="str">
        <f aca="false">IF(G13=0,"",SUMIFS('Registro diário'!$H$6:$H$504,'Registro diário'!$B$6:$B$504,A13)/G13)</f>
        <v/>
      </c>
      <c r="I13" s="18" t="str">
        <f aca="false">IF(SUMIFS('Registro diário'!$G$6:$G$504,'Registro diário'!$B$6:$B$504,$A13,'Registro diário'!$C$6:$C$504,"Medicina Legal")=0,"",SUMIFS('Registro diário'!$H$6:$H$504,'Registro diário'!$B$6:$B$504,$A13,'Registro diário'!$C$6:$C$504,"Medicina Legal")/SUMIFS('Registro diário'!$G$6:$G$504,'Registro diário'!$B$6:$B$504,$A13,'Registro diário'!$C$6:$C$504,"Medicina Legal"))</f>
        <v/>
      </c>
      <c r="J13" s="18" t="str">
        <f aca="false">IF(SUMIFS('Registro diário'!$G$6:$G$504,'Registro diário'!$B$6:$B$504,$A13,'Registro diário'!$C$6:$C$504,"Português")=0,"",SUMIFS('Registro diário'!$H$6:$H$504,'Registro diário'!$B$6:$B$504,$A13,'Registro diário'!$C$6:$C$504,"Português")/SUMIFS('Registro diário'!$G$6:$G$504,'Registro diário'!$B$6:$B$504,$A13,'Registro diário'!$C$6:$C$504,"Português"))</f>
        <v/>
      </c>
      <c r="K13" s="18" t="str">
        <f aca="false">IF(SUMIFS('Registro diário'!$G$6:$G$504,'Registro diário'!$B$6:$B$504,$A13,'Registro diário'!$C$6:$C$504,"Direito")=0,"",SUMIFS('Registro diário'!$H$6:$H$504,'Registro diário'!$B$6:$B$504,$A13,'Registro diário'!$C$6:$C$504,"Direito")/SUMIFS('Registro diário'!$G$6:$G$504,'Registro diário'!$B$6:$B$504,$A13,'Registro diário'!$C$6:$C$504,"Direito"))</f>
        <v/>
      </c>
      <c r="L13" s="18" t="n">
        <f aca="false">COUNTIF(Edital!$D$7:$D$57,"&lt;="&amp;A13)/51</f>
        <v>0.411764705882353</v>
      </c>
      <c r="M13" s="8" t="str">
        <f aca="false">IF(D13=0,"",IF(IF(AND(ISNUMBER(E13),E13&lt;0.8),"Horas abaixo de 80%. ","")&amp;IF(AND(ISNUMBER(I13),I13&lt;0.6),"ML abaixo de 60%: +1 bloco. ","")&amp;IF(AND(ISNUMBER(J13),J13&lt;0.6),"Português abaixo de 60%: +1 bloco. ","")&amp;IF(AND(ISNUMBER(K13),K13&lt;0.6),"Direito abaixo de 60%: +1 bloco. ","")&amp;IF(AND(G13&gt;0,G13&lt;0.8*F13),"Questões abaixo da meta. ","")="","Dentro do plano",IF(AND(ISNUMBER(E13),E13&lt;0.8),"Horas abaixo de 80%. ","")&amp;IF(AND(ISNUMBER(I13),I13&lt;0.6),"ML abaixo de 60%: +1 bloco. ","")&amp;IF(AND(ISNUMBER(J13),J13&lt;0.6),"Português abaixo de 60%: +1 bloco. ","")&amp;IF(AND(ISNUMBER(K13),K13&lt;0.6),"Direito abaixo de 60%: +1 bloco. ","")&amp;IF(AND(G13&gt;0,G13&lt;0.8*F13),"Questões abaixo da meta. ","")))</f>
        <v/>
      </c>
    </row>
    <row r="14" customFormat="false" ht="15" hidden="false" customHeight="false" outlineLevel="0" collapsed="false">
      <c r="A14" s="7" t="n">
        <v>8</v>
      </c>
      <c r="B14" s="7" t="s">
        <v>130</v>
      </c>
      <c r="C14" s="7" t="n">
        <v>5</v>
      </c>
      <c r="D14" s="26" t="n">
        <f aca="false">SUMIFS('Registro diário'!$F$6:$F$504,'Registro diário'!$B$6:$B$504,A14)/60</f>
        <v>0</v>
      </c>
      <c r="E14" s="18" t="str">
        <f aca="false">IF(D14=0,"",D14/C14)</f>
        <v/>
      </c>
      <c r="F14" s="7" t="n">
        <v>30</v>
      </c>
      <c r="G14" s="7" t="n">
        <f aca="false">SUMIFS('Registro diário'!$G$6:$G$504,'Registro diário'!$B$6:$B$504,A14)</f>
        <v>0</v>
      </c>
      <c r="H14" s="18" t="str">
        <f aca="false">IF(G14=0,"",SUMIFS('Registro diário'!$H$6:$H$504,'Registro diário'!$B$6:$B$504,A14)/G14)</f>
        <v/>
      </c>
      <c r="I14" s="18" t="str">
        <f aca="false">IF(SUMIFS('Registro diário'!$G$6:$G$504,'Registro diário'!$B$6:$B$504,$A14,'Registro diário'!$C$6:$C$504,"Medicina Legal")=0,"",SUMIFS('Registro diário'!$H$6:$H$504,'Registro diário'!$B$6:$B$504,$A14,'Registro diário'!$C$6:$C$504,"Medicina Legal")/SUMIFS('Registro diário'!$G$6:$G$504,'Registro diário'!$B$6:$B$504,$A14,'Registro diário'!$C$6:$C$504,"Medicina Legal"))</f>
        <v/>
      </c>
      <c r="J14" s="18" t="str">
        <f aca="false">IF(SUMIFS('Registro diário'!$G$6:$G$504,'Registro diário'!$B$6:$B$504,$A14,'Registro diário'!$C$6:$C$504,"Português")=0,"",SUMIFS('Registro diário'!$H$6:$H$504,'Registro diário'!$B$6:$B$504,$A14,'Registro diário'!$C$6:$C$504,"Português")/SUMIFS('Registro diário'!$G$6:$G$504,'Registro diário'!$B$6:$B$504,$A14,'Registro diário'!$C$6:$C$504,"Português"))</f>
        <v/>
      </c>
      <c r="K14" s="18" t="str">
        <f aca="false">IF(SUMIFS('Registro diário'!$G$6:$G$504,'Registro diário'!$B$6:$B$504,$A14,'Registro diário'!$C$6:$C$504,"Direito")=0,"",SUMIFS('Registro diário'!$H$6:$H$504,'Registro diário'!$B$6:$B$504,$A14,'Registro diário'!$C$6:$C$504,"Direito")/SUMIFS('Registro diário'!$G$6:$G$504,'Registro diário'!$B$6:$B$504,$A14,'Registro diário'!$C$6:$C$504,"Direito"))</f>
        <v/>
      </c>
      <c r="L14" s="18" t="n">
        <f aca="false">COUNTIF(Edital!$D$7:$D$57,"&lt;="&amp;A14)/51</f>
        <v>0.411764705882353</v>
      </c>
      <c r="M14" s="8" t="str">
        <f aca="false">IF(D14=0,"",IF(IF(AND(ISNUMBER(E14),E14&lt;0.8),"Horas abaixo de 80%. ","")&amp;IF(AND(ISNUMBER(I14),I14&lt;0.6),"ML abaixo de 60%: +1 bloco. ","")&amp;IF(AND(ISNUMBER(J14),J14&lt;0.6),"Português abaixo de 60%: +1 bloco. ","")&amp;IF(AND(ISNUMBER(K14),K14&lt;0.6),"Direito abaixo de 60%: +1 bloco. ","")&amp;IF(AND(G14&gt;0,G14&lt;0.8*F14),"Questões abaixo da meta. ","")="","Dentro do plano",IF(AND(ISNUMBER(E14),E14&lt;0.8),"Horas abaixo de 80%. ","")&amp;IF(AND(ISNUMBER(I14),I14&lt;0.6),"ML abaixo de 60%: +1 bloco. ","")&amp;IF(AND(ISNUMBER(J14),J14&lt;0.6),"Português abaixo de 60%: +1 bloco. ","")&amp;IF(AND(ISNUMBER(K14),K14&lt;0.6),"Direito abaixo de 60%: +1 bloco. ","")&amp;IF(AND(G14&gt;0,G14&lt;0.8*F14),"Questões abaixo da meta. ","")))</f>
        <v/>
      </c>
    </row>
    <row r="15" customFormat="false" ht="15" hidden="false" customHeight="false" outlineLevel="0" collapsed="false">
      <c r="A15" s="7" t="n">
        <v>9</v>
      </c>
      <c r="B15" s="7" t="s">
        <v>134</v>
      </c>
      <c r="C15" s="7" t="n">
        <v>10</v>
      </c>
      <c r="D15" s="26" t="n">
        <f aca="false">SUMIFS('Registro diário'!$F$6:$F$504,'Registro diário'!$B$6:$B$504,A15)/60</f>
        <v>0</v>
      </c>
      <c r="E15" s="18" t="str">
        <f aca="false">IF(D15=0,"",D15/C15)</f>
        <v/>
      </c>
      <c r="F15" s="7" t="n">
        <v>70</v>
      </c>
      <c r="G15" s="7" t="n">
        <f aca="false">SUMIFS('Registro diário'!$G$6:$G$504,'Registro diário'!$B$6:$B$504,A15)</f>
        <v>0</v>
      </c>
      <c r="H15" s="18" t="str">
        <f aca="false">IF(G15=0,"",SUMIFS('Registro diário'!$H$6:$H$504,'Registro diário'!$B$6:$B$504,A15)/G15)</f>
        <v/>
      </c>
      <c r="I15" s="18" t="str">
        <f aca="false">IF(SUMIFS('Registro diário'!$G$6:$G$504,'Registro diário'!$B$6:$B$504,$A15,'Registro diário'!$C$6:$C$504,"Medicina Legal")=0,"",SUMIFS('Registro diário'!$H$6:$H$504,'Registro diário'!$B$6:$B$504,$A15,'Registro diário'!$C$6:$C$504,"Medicina Legal")/SUMIFS('Registro diário'!$G$6:$G$504,'Registro diário'!$B$6:$B$504,$A15,'Registro diário'!$C$6:$C$504,"Medicina Legal"))</f>
        <v/>
      </c>
      <c r="J15" s="18" t="str">
        <f aca="false">IF(SUMIFS('Registro diário'!$G$6:$G$504,'Registro diário'!$B$6:$B$504,$A15,'Registro diário'!$C$6:$C$504,"Português")=0,"",SUMIFS('Registro diário'!$H$6:$H$504,'Registro diário'!$B$6:$B$504,$A15,'Registro diário'!$C$6:$C$504,"Português")/SUMIFS('Registro diário'!$G$6:$G$504,'Registro diário'!$B$6:$B$504,$A15,'Registro diário'!$C$6:$C$504,"Português"))</f>
        <v/>
      </c>
      <c r="K15" s="18" t="str">
        <f aca="false">IF(SUMIFS('Registro diário'!$G$6:$G$504,'Registro diário'!$B$6:$B$504,$A15,'Registro diário'!$C$6:$C$504,"Direito")=0,"",SUMIFS('Registro diário'!$H$6:$H$504,'Registro diário'!$B$6:$B$504,$A15,'Registro diário'!$C$6:$C$504,"Direito")/SUMIFS('Registro diário'!$G$6:$G$504,'Registro diário'!$B$6:$B$504,$A15,'Registro diário'!$C$6:$C$504,"Direito"))</f>
        <v/>
      </c>
      <c r="L15" s="18" t="n">
        <f aca="false">COUNTIF(Edital!$D$7:$D$57,"&lt;="&amp;A15)/51</f>
        <v>0.470588235294118</v>
      </c>
      <c r="M15" s="8" t="str">
        <f aca="false">IF(D15=0,"",IF(IF(AND(ISNUMBER(E15),E15&lt;0.8),"Horas abaixo de 80%. ","")&amp;IF(AND(ISNUMBER(I15),I15&lt;0.6),"ML abaixo de 60%: +1 bloco. ","")&amp;IF(AND(ISNUMBER(J15),J15&lt;0.6),"Português abaixo de 60%: +1 bloco. ","")&amp;IF(AND(ISNUMBER(K15),K15&lt;0.6),"Direito abaixo de 60%: +1 bloco. ","")&amp;IF(AND(G15&gt;0,G15&lt;0.8*F15),"Questões abaixo da meta. ","")="","Dentro do plano",IF(AND(ISNUMBER(E15),E15&lt;0.8),"Horas abaixo de 80%. ","")&amp;IF(AND(ISNUMBER(I15),I15&lt;0.6),"ML abaixo de 60%: +1 bloco. ","")&amp;IF(AND(ISNUMBER(J15),J15&lt;0.6),"Português abaixo de 60%: +1 bloco. ","")&amp;IF(AND(ISNUMBER(K15),K15&lt;0.6),"Direito abaixo de 60%: +1 bloco. ","")&amp;IF(AND(G15&gt;0,G15&lt;0.8*F15),"Questões abaixo da meta. ","")))</f>
        <v/>
      </c>
    </row>
    <row r="16" customFormat="false" ht="15" hidden="false" customHeight="false" outlineLevel="0" collapsed="false">
      <c r="A16" s="7" t="n">
        <v>10</v>
      </c>
      <c r="B16" s="7" t="s">
        <v>141</v>
      </c>
      <c r="C16" s="7" t="n">
        <v>10</v>
      </c>
      <c r="D16" s="26" t="n">
        <f aca="false">SUMIFS('Registro diário'!$F$6:$F$504,'Registro diário'!$B$6:$B$504,A16)/60</f>
        <v>0</v>
      </c>
      <c r="E16" s="18" t="str">
        <f aca="false">IF(D16=0,"",D16/C16)</f>
        <v/>
      </c>
      <c r="F16" s="7" t="n">
        <v>70</v>
      </c>
      <c r="G16" s="7" t="n">
        <f aca="false">SUMIFS('Registro diário'!$G$6:$G$504,'Registro diário'!$B$6:$B$504,A16)</f>
        <v>0</v>
      </c>
      <c r="H16" s="18" t="str">
        <f aca="false">IF(G16=0,"",SUMIFS('Registro diário'!$H$6:$H$504,'Registro diário'!$B$6:$B$504,A16)/G16)</f>
        <v/>
      </c>
      <c r="I16" s="18" t="str">
        <f aca="false">IF(SUMIFS('Registro diário'!$G$6:$G$504,'Registro diário'!$B$6:$B$504,$A16,'Registro diário'!$C$6:$C$504,"Medicina Legal")=0,"",SUMIFS('Registro diário'!$H$6:$H$504,'Registro diário'!$B$6:$B$504,$A16,'Registro diário'!$C$6:$C$504,"Medicina Legal")/SUMIFS('Registro diário'!$G$6:$G$504,'Registro diário'!$B$6:$B$504,$A16,'Registro diário'!$C$6:$C$504,"Medicina Legal"))</f>
        <v/>
      </c>
      <c r="J16" s="18" t="str">
        <f aca="false">IF(SUMIFS('Registro diário'!$G$6:$G$504,'Registro diário'!$B$6:$B$504,$A16,'Registro diário'!$C$6:$C$504,"Português")=0,"",SUMIFS('Registro diário'!$H$6:$H$504,'Registro diário'!$B$6:$B$504,$A16,'Registro diário'!$C$6:$C$504,"Português")/SUMIFS('Registro diário'!$G$6:$G$504,'Registro diário'!$B$6:$B$504,$A16,'Registro diário'!$C$6:$C$504,"Português"))</f>
        <v/>
      </c>
      <c r="K16" s="18" t="str">
        <f aca="false">IF(SUMIFS('Registro diário'!$G$6:$G$504,'Registro diário'!$B$6:$B$504,$A16,'Registro diário'!$C$6:$C$504,"Direito")=0,"",SUMIFS('Registro diário'!$H$6:$H$504,'Registro diário'!$B$6:$B$504,$A16,'Registro diário'!$C$6:$C$504,"Direito")/SUMIFS('Registro diário'!$G$6:$G$504,'Registro diário'!$B$6:$B$504,$A16,'Registro diário'!$C$6:$C$504,"Direito"))</f>
        <v/>
      </c>
      <c r="L16" s="18" t="n">
        <f aca="false">COUNTIF(Edital!$D$7:$D$57,"&lt;="&amp;A16)/51</f>
        <v>0.529411764705882</v>
      </c>
      <c r="M16" s="8" t="str">
        <f aca="false">IF(D16=0,"",IF(IF(AND(ISNUMBER(E16),E16&lt;0.8),"Horas abaixo de 80%. ","")&amp;IF(AND(ISNUMBER(I16),I16&lt;0.6),"ML abaixo de 60%: +1 bloco. ","")&amp;IF(AND(ISNUMBER(J16),J16&lt;0.6),"Português abaixo de 60%: +1 bloco. ","")&amp;IF(AND(ISNUMBER(K16),K16&lt;0.6),"Direito abaixo de 60%: +1 bloco. ","")&amp;IF(AND(G16&gt;0,G16&lt;0.8*F16),"Questões abaixo da meta. ","")="","Dentro do plano",IF(AND(ISNUMBER(E16),E16&lt;0.8),"Horas abaixo de 80%. ","")&amp;IF(AND(ISNUMBER(I16),I16&lt;0.6),"ML abaixo de 60%: +1 bloco. ","")&amp;IF(AND(ISNUMBER(J16),J16&lt;0.6),"Português abaixo de 60%: +1 bloco. ","")&amp;IF(AND(ISNUMBER(K16),K16&lt;0.6),"Direito abaixo de 60%: +1 bloco. ","")&amp;IF(AND(G16&gt;0,G16&lt;0.8*F16),"Questões abaixo da meta. ","")))</f>
        <v/>
      </c>
    </row>
    <row r="17" customFormat="false" ht="15" hidden="false" customHeight="false" outlineLevel="0" collapsed="false">
      <c r="A17" s="7" t="n">
        <v>11</v>
      </c>
      <c r="B17" s="7" t="s">
        <v>146</v>
      </c>
      <c r="C17" s="7" t="n">
        <v>10</v>
      </c>
      <c r="D17" s="26" t="n">
        <f aca="false">SUMIFS('Registro diário'!$F$6:$F$504,'Registro diário'!$B$6:$B$504,A17)/60</f>
        <v>0</v>
      </c>
      <c r="E17" s="18" t="str">
        <f aca="false">IF(D17=0,"",D17/C17)</f>
        <v/>
      </c>
      <c r="F17" s="7" t="n">
        <v>70</v>
      </c>
      <c r="G17" s="7" t="n">
        <f aca="false">SUMIFS('Registro diário'!$G$6:$G$504,'Registro diário'!$B$6:$B$504,A17)</f>
        <v>0</v>
      </c>
      <c r="H17" s="18" t="str">
        <f aca="false">IF(G17=0,"",SUMIFS('Registro diário'!$H$6:$H$504,'Registro diário'!$B$6:$B$504,A17)/G17)</f>
        <v/>
      </c>
      <c r="I17" s="18" t="str">
        <f aca="false">IF(SUMIFS('Registro diário'!$G$6:$G$504,'Registro diário'!$B$6:$B$504,$A17,'Registro diário'!$C$6:$C$504,"Medicina Legal")=0,"",SUMIFS('Registro diário'!$H$6:$H$504,'Registro diário'!$B$6:$B$504,$A17,'Registro diário'!$C$6:$C$504,"Medicina Legal")/SUMIFS('Registro diário'!$G$6:$G$504,'Registro diário'!$B$6:$B$504,$A17,'Registro diário'!$C$6:$C$504,"Medicina Legal"))</f>
        <v/>
      </c>
      <c r="J17" s="18" t="str">
        <f aca="false">IF(SUMIFS('Registro diário'!$G$6:$G$504,'Registro diário'!$B$6:$B$504,$A17,'Registro diário'!$C$6:$C$504,"Português")=0,"",SUMIFS('Registro diário'!$H$6:$H$504,'Registro diário'!$B$6:$B$504,$A17,'Registro diário'!$C$6:$C$504,"Português")/SUMIFS('Registro diário'!$G$6:$G$504,'Registro diário'!$B$6:$B$504,$A17,'Registro diário'!$C$6:$C$504,"Português"))</f>
        <v/>
      </c>
      <c r="K17" s="18" t="str">
        <f aca="false">IF(SUMIFS('Registro diário'!$G$6:$G$504,'Registro diário'!$B$6:$B$504,$A17,'Registro diário'!$C$6:$C$504,"Direito")=0,"",SUMIFS('Registro diário'!$H$6:$H$504,'Registro diário'!$B$6:$B$504,$A17,'Registro diário'!$C$6:$C$504,"Direito")/SUMIFS('Registro diário'!$G$6:$G$504,'Registro diário'!$B$6:$B$504,$A17,'Registro diário'!$C$6:$C$504,"Direito"))</f>
        <v/>
      </c>
      <c r="L17" s="18" t="n">
        <f aca="false">COUNTIF(Edital!$D$7:$D$57,"&lt;="&amp;A17)/51</f>
        <v>0.588235294117647</v>
      </c>
      <c r="M17" s="8" t="str">
        <f aca="false">IF(D17=0,"",IF(IF(AND(ISNUMBER(E17),E17&lt;0.8),"Horas abaixo de 80%. ","")&amp;IF(AND(ISNUMBER(I17),I17&lt;0.6),"ML abaixo de 60%: +1 bloco. ","")&amp;IF(AND(ISNUMBER(J17),J17&lt;0.6),"Português abaixo de 60%: +1 bloco. ","")&amp;IF(AND(ISNUMBER(K17),K17&lt;0.6),"Direito abaixo de 60%: +1 bloco. ","")&amp;IF(AND(G17&gt;0,G17&lt;0.8*F17),"Questões abaixo da meta. ","")="","Dentro do plano",IF(AND(ISNUMBER(E17),E17&lt;0.8),"Horas abaixo de 80%. ","")&amp;IF(AND(ISNUMBER(I17),I17&lt;0.6),"ML abaixo de 60%: +1 bloco. ","")&amp;IF(AND(ISNUMBER(J17),J17&lt;0.6),"Português abaixo de 60%: +1 bloco. ","")&amp;IF(AND(ISNUMBER(K17),K17&lt;0.6),"Direito abaixo de 60%: +1 bloco. ","")&amp;IF(AND(G17&gt;0,G17&lt;0.8*F17),"Questões abaixo da meta. ","")))</f>
        <v/>
      </c>
    </row>
    <row r="18" customFormat="false" ht="15" hidden="false" customHeight="false" outlineLevel="0" collapsed="false">
      <c r="A18" s="7" t="n">
        <v>12</v>
      </c>
      <c r="B18" s="7" t="s">
        <v>152</v>
      </c>
      <c r="C18" s="7" t="n">
        <v>10</v>
      </c>
      <c r="D18" s="26" t="n">
        <f aca="false">SUMIFS('Registro diário'!$F$6:$F$504,'Registro diário'!$B$6:$B$504,A18)/60</f>
        <v>0</v>
      </c>
      <c r="E18" s="18" t="str">
        <f aca="false">IF(D18=0,"",D18/C18)</f>
        <v/>
      </c>
      <c r="F18" s="7" t="n">
        <v>70</v>
      </c>
      <c r="G18" s="7" t="n">
        <f aca="false">SUMIFS('Registro diário'!$G$6:$G$504,'Registro diário'!$B$6:$B$504,A18)</f>
        <v>0</v>
      </c>
      <c r="H18" s="18" t="str">
        <f aca="false">IF(G18=0,"",SUMIFS('Registro diário'!$H$6:$H$504,'Registro diário'!$B$6:$B$504,A18)/G18)</f>
        <v/>
      </c>
      <c r="I18" s="18" t="str">
        <f aca="false">IF(SUMIFS('Registro diário'!$G$6:$G$504,'Registro diário'!$B$6:$B$504,$A18,'Registro diário'!$C$6:$C$504,"Medicina Legal")=0,"",SUMIFS('Registro diário'!$H$6:$H$504,'Registro diário'!$B$6:$B$504,$A18,'Registro diário'!$C$6:$C$504,"Medicina Legal")/SUMIFS('Registro diário'!$G$6:$G$504,'Registro diário'!$B$6:$B$504,$A18,'Registro diário'!$C$6:$C$504,"Medicina Legal"))</f>
        <v/>
      </c>
      <c r="J18" s="18" t="str">
        <f aca="false">IF(SUMIFS('Registro diário'!$G$6:$G$504,'Registro diário'!$B$6:$B$504,$A18,'Registro diário'!$C$6:$C$504,"Português")=0,"",SUMIFS('Registro diário'!$H$6:$H$504,'Registro diário'!$B$6:$B$504,$A18,'Registro diário'!$C$6:$C$504,"Português")/SUMIFS('Registro diário'!$G$6:$G$504,'Registro diário'!$B$6:$B$504,$A18,'Registro diário'!$C$6:$C$504,"Português"))</f>
        <v/>
      </c>
      <c r="K18" s="18" t="str">
        <f aca="false">IF(SUMIFS('Registro diário'!$G$6:$G$504,'Registro diário'!$B$6:$B$504,$A18,'Registro diário'!$C$6:$C$504,"Direito")=0,"",SUMIFS('Registro diário'!$H$6:$H$504,'Registro diário'!$B$6:$B$504,$A18,'Registro diário'!$C$6:$C$504,"Direito")/SUMIFS('Registro diário'!$G$6:$G$504,'Registro diário'!$B$6:$B$504,$A18,'Registro diário'!$C$6:$C$504,"Direito"))</f>
        <v/>
      </c>
      <c r="L18" s="18" t="n">
        <f aca="false">COUNTIF(Edital!$D$7:$D$57,"&lt;="&amp;A18)/51</f>
        <v>0.647058823529412</v>
      </c>
      <c r="M18" s="8" t="str">
        <f aca="false">IF(D18=0,"",IF(IF(AND(ISNUMBER(E18),E18&lt;0.8),"Horas abaixo de 80%. ","")&amp;IF(AND(ISNUMBER(I18),I18&lt;0.6),"ML abaixo de 60%: +1 bloco. ","")&amp;IF(AND(ISNUMBER(J18),J18&lt;0.6),"Português abaixo de 60%: +1 bloco. ","")&amp;IF(AND(ISNUMBER(K18),K18&lt;0.6),"Direito abaixo de 60%: +1 bloco. ","")&amp;IF(AND(G18&gt;0,G18&lt;0.8*F18),"Questões abaixo da meta. ","")="","Dentro do plano",IF(AND(ISNUMBER(E18),E18&lt;0.8),"Horas abaixo de 80%. ","")&amp;IF(AND(ISNUMBER(I18),I18&lt;0.6),"ML abaixo de 60%: +1 bloco. ","")&amp;IF(AND(ISNUMBER(J18),J18&lt;0.6),"Português abaixo de 60%: +1 bloco. ","")&amp;IF(AND(ISNUMBER(K18),K18&lt;0.6),"Direito abaixo de 60%: +1 bloco. ","")&amp;IF(AND(G18&gt;0,G18&lt;0.8*F18),"Questões abaixo da meta. ","")))</f>
        <v/>
      </c>
    </row>
    <row r="19" customFormat="false" ht="15" hidden="false" customHeight="false" outlineLevel="0" collapsed="false">
      <c r="A19" s="7" t="n">
        <v>13</v>
      </c>
      <c r="B19" s="7" t="s">
        <v>157</v>
      </c>
      <c r="C19" s="7" t="n">
        <v>10</v>
      </c>
      <c r="D19" s="26" t="n">
        <f aca="false">SUMIFS('Registro diário'!$F$6:$F$504,'Registro diário'!$B$6:$B$504,A19)/60</f>
        <v>0</v>
      </c>
      <c r="E19" s="18" t="str">
        <f aca="false">IF(D19=0,"",D19/C19)</f>
        <v/>
      </c>
      <c r="F19" s="7" t="n">
        <v>70</v>
      </c>
      <c r="G19" s="7" t="n">
        <f aca="false">SUMIFS('Registro diário'!$G$6:$G$504,'Registro diário'!$B$6:$B$504,A19)</f>
        <v>0</v>
      </c>
      <c r="H19" s="18" t="str">
        <f aca="false">IF(G19=0,"",SUMIFS('Registro diário'!$H$6:$H$504,'Registro diário'!$B$6:$B$504,A19)/G19)</f>
        <v/>
      </c>
      <c r="I19" s="18" t="str">
        <f aca="false">IF(SUMIFS('Registro diário'!$G$6:$G$504,'Registro diário'!$B$6:$B$504,$A19,'Registro diário'!$C$6:$C$504,"Medicina Legal")=0,"",SUMIFS('Registro diário'!$H$6:$H$504,'Registro diário'!$B$6:$B$504,$A19,'Registro diário'!$C$6:$C$504,"Medicina Legal")/SUMIFS('Registro diário'!$G$6:$G$504,'Registro diário'!$B$6:$B$504,$A19,'Registro diário'!$C$6:$C$504,"Medicina Legal"))</f>
        <v/>
      </c>
      <c r="J19" s="18" t="str">
        <f aca="false">IF(SUMIFS('Registro diário'!$G$6:$G$504,'Registro diário'!$B$6:$B$504,$A19,'Registro diário'!$C$6:$C$504,"Português")=0,"",SUMIFS('Registro diário'!$H$6:$H$504,'Registro diário'!$B$6:$B$504,$A19,'Registro diário'!$C$6:$C$504,"Português")/SUMIFS('Registro diário'!$G$6:$G$504,'Registro diário'!$B$6:$B$504,$A19,'Registro diário'!$C$6:$C$504,"Português"))</f>
        <v/>
      </c>
      <c r="K19" s="18" t="str">
        <f aca="false">IF(SUMIFS('Registro diário'!$G$6:$G$504,'Registro diário'!$B$6:$B$504,$A19,'Registro diário'!$C$6:$C$504,"Direito")=0,"",SUMIFS('Registro diário'!$H$6:$H$504,'Registro diário'!$B$6:$B$504,$A19,'Registro diário'!$C$6:$C$504,"Direito")/SUMIFS('Registro diário'!$G$6:$G$504,'Registro diário'!$B$6:$B$504,$A19,'Registro diário'!$C$6:$C$504,"Direito"))</f>
        <v/>
      </c>
      <c r="L19" s="18" t="n">
        <f aca="false">COUNTIF(Edital!$D$7:$D$57,"&lt;="&amp;A19)/51</f>
        <v>0.705882352941177</v>
      </c>
      <c r="M19" s="8" t="str">
        <f aca="false">IF(D19=0,"",IF(IF(AND(ISNUMBER(E19),E19&lt;0.8),"Horas abaixo de 80%. ","")&amp;IF(AND(ISNUMBER(I19),I19&lt;0.6),"ML abaixo de 60%: +1 bloco. ","")&amp;IF(AND(ISNUMBER(J19),J19&lt;0.6),"Português abaixo de 60%: +1 bloco. ","")&amp;IF(AND(ISNUMBER(K19),K19&lt;0.6),"Direito abaixo de 60%: +1 bloco. ","")&amp;IF(AND(G19&gt;0,G19&lt;0.8*F19),"Questões abaixo da meta. ","")="","Dentro do plano",IF(AND(ISNUMBER(E19),E19&lt;0.8),"Horas abaixo de 80%. ","")&amp;IF(AND(ISNUMBER(I19),I19&lt;0.6),"ML abaixo de 60%: +1 bloco. ","")&amp;IF(AND(ISNUMBER(J19),J19&lt;0.6),"Português abaixo de 60%: +1 bloco. ","")&amp;IF(AND(ISNUMBER(K19),K19&lt;0.6),"Direito abaixo de 60%: +1 bloco. ","")&amp;IF(AND(G19&gt;0,G19&lt;0.8*F19),"Questões abaixo da meta. ","")))</f>
        <v/>
      </c>
    </row>
    <row r="20" customFormat="false" ht="15" hidden="false" customHeight="false" outlineLevel="0" collapsed="false">
      <c r="A20" s="7" t="n">
        <v>14</v>
      </c>
      <c r="B20" s="7" t="s">
        <v>164</v>
      </c>
      <c r="C20" s="7" t="n">
        <v>10</v>
      </c>
      <c r="D20" s="26" t="n">
        <f aca="false">SUMIFS('Registro diário'!$F$6:$F$504,'Registro diário'!$B$6:$B$504,A20)/60</f>
        <v>0</v>
      </c>
      <c r="E20" s="18" t="str">
        <f aca="false">IF(D20=0,"",D20/C20)</f>
        <v/>
      </c>
      <c r="F20" s="7" t="n">
        <v>70</v>
      </c>
      <c r="G20" s="7" t="n">
        <f aca="false">SUMIFS('Registro diário'!$G$6:$G$504,'Registro diário'!$B$6:$B$504,A20)</f>
        <v>0</v>
      </c>
      <c r="H20" s="18" t="str">
        <f aca="false">IF(G20=0,"",SUMIFS('Registro diário'!$H$6:$H$504,'Registro diário'!$B$6:$B$504,A20)/G20)</f>
        <v/>
      </c>
      <c r="I20" s="18" t="str">
        <f aca="false">IF(SUMIFS('Registro diário'!$G$6:$G$504,'Registro diário'!$B$6:$B$504,$A20,'Registro diário'!$C$6:$C$504,"Medicina Legal")=0,"",SUMIFS('Registro diário'!$H$6:$H$504,'Registro diário'!$B$6:$B$504,$A20,'Registro diário'!$C$6:$C$504,"Medicina Legal")/SUMIFS('Registro diário'!$G$6:$G$504,'Registro diário'!$B$6:$B$504,$A20,'Registro diário'!$C$6:$C$504,"Medicina Legal"))</f>
        <v/>
      </c>
      <c r="J20" s="18" t="str">
        <f aca="false">IF(SUMIFS('Registro diário'!$G$6:$G$504,'Registro diário'!$B$6:$B$504,$A20,'Registro diário'!$C$6:$C$504,"Português")=0,"",SUMIFS('Registro diário'!$H$6:$H$504,'Registro diário'!$B$6:$B$504,$A20,'Registro diário'!$C$6:$C$504,"Português")/SUMIFS('Registro diário'!$G$6:$G$504,'Registro diário'!$B$6:$B$504,$A20,'Registro diário'!$C$6:$C$504,"Português"))</f>
        <v/>
      </c>
      <c r="K20" s="18" t="str">
        <f aca="false">IF(SUMIFS('Registro diário'!$G$6:$G$504,'Registro diário'!$B$6:$B$504,$A20,'Registro diário'!$C$6:$C$504,"Direito")=0,"",SUMIFS('Registro diário'!$H$6:$H$504,'Registro diário'!$B$6:$B$504,$A20,'Registro diário'!$C$6:$C$504,"Direito")/SUMIFS('Registro diário'!$G$6:$G$504,'Registro diário'!$B$6:$B$504,$A20,'Registro diário'!$C$6:$C$504,"Direito"))</f>
        <v/>
      </c>
      <c r="L20" s="18" t="n">
        <f aca="false">COUNTIF(Edital!$D$7:$D$57,"&lt;="&amp;A20)/51</f>
        <v>0.764705882352941</v>
      </c>
      <c r="M20" s="8" t="str">
        <f aca="false">IF(D20=0,"",IF(IF(AND(ISNUMBER(E20),E20&lt;0.8),"Horas abaixo de 80%. ","")&amp;IF(AND(ISNUMBER(I20),I20&lt;0.6),"ML abaixo de 60%: +1 bloco. ","")&amp;IF(AND(ISNUMBER(J20),J20&lt;0.6),"Português abaixo de 60%: +1 bloco. ","")&amp;IF(AND(ISNUMBER(K20),K20&lt;0.6),"Direito abaixo de 60%: +1 bloco. ","")&amp;IF(AND(G20&gt;0,G20&lt;0.8*F20),"Questões abaixo da meta. ","")="","Dentro do plano",IF(AND(ISNUMBER(E20),E20&lt;0.8),"Horas abaixo de 80%. ","")&amp;IF(AND(ISNUMBER(I20),I20&lt;0.6),"ML abaixo de 60%: +1 bloco. ","")&amp;IF(AND(ISNUMBER(J20),J20&lt;0.6),"Português abaixo de 60%: +1 bloco. ","")&amp;IF(AND(ISNUMBER(K20),K20&lt;0.6),"Direito abaixo de 60%: +1 bloco. ","")&amp;IF(AND(G20&gt;0,G20&lt;0.8*F20),"Questões abaixo da meta. ","")))</f>
        <v/>
      </c>
    </row>
    <row r="21" customFormat="false" ht="15" hidden="false" customHeight="false" outlineLevel="0" collapsed="false">
      <c r="A21" s="7" t="n">
        <v>15</v>
      </c>
      <c r="B21" s="7" t="s">
        <v>170</v>
      </c>
      <c r="C21" s="7" t="n">
        <v>5</v>
      </c>
      <c r="D21" s="26" t="n">
        <f aca="false">SUMIFS('Registro diário'!$F$6:$F$504,'Registro diário'!$B$6:$B$504,A21)/60</f>
        <v>0</v>
      </c>
      <c r="E21" s="18" t="str">
        <f aca="false">IF(D21=0,"",D21/C21)</f>
        <v/>
      </c>
      <c r="F21" s="7" t="n">
        <v>30</v>
      </c>
      <c r="G21" s="7" t="n">
        <f aca="false">SUMIFS('Registro diário'!$G$6:$G$504,'Registro diário'!$B$6:$B$504,A21)</f>
        <v>0</v>
      </c>
      <c r="H21" s="18" t="str">
        <f aca="false">IF(G21=0,"",SUMIFS('Registro diário'!$H$6:$H$504,'Registro diário'!$B$6:$B$504,A21)/G21)</f>
        <v/>
      </c>
      <c r="I21" s="18" t="str">
        <f aca="false">IF(SUMIFS('Registro diário'!$G$6:$G$504,'Registro diário'!$B$6:$B$504,$A21,'Registro diário'!$C$6:$C$504,"Medicina Legal")=0,"",SUMIFS('Registro diário'!$H$6:$H$504,'Registro diário'!$B$6:$B$504,$A21,'Registro diário'!$C$6:$C$504,"Medicina Legal")/SUMIFS('Registro diário'!$G$6:$G$504,'Registro diário'!$B$6:$B$504,$A21,'Registro diário'!$C$6:$C$504,"Medicina Legal"))</f>
        <v/>
      </c>
      <c r="J21" s="18" t="str">
        <f aca="false">IF(SUMIFS('Registro diário'!$G$6:$G$504,'Registro diário'!$B$6:$B$504,$A21,'Registro diário'!$C$6:$C$504,"Português")=0,"",SUMIFS('Registro diário'!$H$6:$H$504,'Registro diário'!$B$6:$B$504,$A21,'Registro diário'!$C$6:$C$504,"Português")/SUMIFS('Registro diário'!$G$6:$G$504,'Registro diário'!$B$6:$B$504,$A21,'Registro diário'!$C$6:$C$504,"Português"))</f>
        <v/>
      </c>
      <c r="K21" s="18" t="str">
        <f aca="false">IF(SUMIFS('Registro diário'!$G$6:$G$504,'Registro diário'!$B$6:$B$504,$A21,'Registro diário'!$C$6:$C$504,"Direito")=0,"",SUMIFS('Registro diário'!$H$6:$H$504,'Registro diário'!$B$6:$B$504,$A21,'Registro diário'!$C$6:$C$504,"Direito")/SUMIFS('Registro diário'!$G$6:$G$504,'Registro diário'!$B$6:$B$504,$A21,'Registro diário'!$C$6:$C$504,"Direito"))</f>
        <v/>
      </c>
      <c r="L21" s="18" t="n">
        <f aca="false">COUNTIF(Edital!$D$7:$D$57,"&lt;="&amp;A21)/51</f>
        <v>0.764705882352941</v>
      </c>
      <c r="M21" s="8" t="str">
        <f aca="false">IF(D21=0,"",IF(IF(AND(ISNUMBER(E21),E21&lt;0.8),"Horas abaixo de 80%. ","")&amp;IF(AND(ISNUMBER(I21),I21&lt;0.6),"ML abaixo de 60%: +1 bloco. ","")&amp;IF(AND(ISNUMBER(J21),J21&lt;0.6),"Português abaixo de 60%: +1 bloco. ","")&amp;IF(AND(ISNUMBER(K21),K21&lt;0.6),"Direito abaixo de 60%: +1 bloco. ","")&amp;IF(AND(G21&gt;0,G21&lt;0.8*F21),"Questões abaixo da meta. ","")="","Dentro do plano",IF(AND(ISNUMBER(E21),E21&lt;0.8),"Horas abaixo de 80%. ","")&amp;IF(AND(ISNUMBER(I21),I21&lt;0.6),"ML abaixo de 60%: +1 bloco. ","")&amp;IF(AND(ISNUMBER(J21),J21&lt;0.6),"Português abaixo de 60%: +1 bloco. ","")&amp;IF(AND(ISNUMBER(K21),K21&lt;0.6),"Direito abaixo de 60%: +1 bloco. ","")&amp;IF(AND(G21&gt;0,G21&lt;0.8*F21),"Questões abaixo da meta. ","")))</f>
        <v/>
      </c>
    </row>
    <row r="22" customFormat="false" ht="15" hidden="false" customHeight="false" outlineLevel="0" collapsed="false">
      <c r="A22" s="7" t="n">
        <v>16</v>
      </c>
      <c r="B22" s="7" t="s">
        <v>173</v>
      </c>
      <c r="C22" s="7" t="n">
        <v>10</v>
      </c>
      <c r="D22" s="26" t="n">
        <f aca="false">SUMIFS('Registro diário'!$F$6:$F$504,'Registro diário'!$B$6:$B$504,A22)/60</f>
        <v>0</v>
      </c>
      <c r="E22" s="18" t="str">
        <f aca="false">IF(D22=0,"",D22/C22)</f>
        <v/>
      </c>
      <c r="F22" s="7" t="n">
        <v>70</v>
      </c>
      <c r="G22" s="7" t="n">
        <f aca="false">SUMIFS('Registro diário'!$G$6:$G$504,'Registro diário'!$B$6:$B$504,A22)</f>
        <v>0</v>
      </c>
      <c r="H22" s="18" t="str">
        <f aca="false">IF(G22=0,"",SUMIFS('Registro diário'!$H$6:$H$504,'Registro diário'!$B$6:$B$504,A22)/G22)</f>
        <v/>
      </c>
      <c r="I22" s="18" t="str">
        <f aca="false">IF(SUMIFS('Registro diário'!$G$6:$G$504,'Registro diário'!$B$6:$B$504,$A22,'Registro diário'!$C$6:$C$504,"Medicina Legal")=0,"",SUMIFS('Registro diário'!$H$6:$H$504,'Registro diário'!$B$6:$B$504,$A22,'Registro diário'!$C$6:$C$504,"Medicina Legal")/SUMIFS('Registro diário'!$G$6:$G$504,'Registro diário'!$B$6:$B$504,$A22,'Registro diário'!$C$6:$C$504,"Medicina Legal"))</f>
        <v/>
      </c>
      <c r="J22" s="18" t="str">
        <f aca="false">IF(SUMIFS('Registro diário'!$G$6:$G$504,'Registro diário'!$B$6:$B$504,$A22,'Registro diário'!$C$6:$C$504,"Português")=0,"",SUMIFS('Registro diário'!$H$6:$H$504,'Registro diário'!$B$6:$B$504,$A22,'Registro diário'!$C$6:$C$504,"Português")/SUMIFS('Registro diário'!$G$6:$G$504,'Registro diário'!$B$6:$B$504,$A22,'Registro diário'!$C$6:$C$504,"Português"))</f>
        <v/>
      </c>
      <c r="K22" s="18" t="str">
        <f aca="false">IF(SUMIFS('Registro diário'!$G$6:$G$504,'Registro diário'!$B$6:$B$504,$A22,'Registro diário'!$C$6:$C$504,"Direito")=0,"",SUMIFS('Registro diário'!$H$6:$H$504,'Registro diário'!$B$6:$B$504,$A22,'Registro diário'!$C$6:$C$504,"Direito")/SUMIFS('Registro diário'!$G$6:$G$504,'Registro diário'!$B$6:$B$504,$A22,'Registro diário'!$C$6:$C$504,"Direito"))</f>
        <v/>
      </c>
      <c r="L22" s="18" t="n">
        <f aca="false">COUNTIF(Edital!$D$7:$D$57,"&lt;="&amp;A22)/51</f>
        <v>0.823529411764706</v>
      </c>
      <c r="M22" s="8" t="str">
        <f aca="false">IF(D22=0,"",IF(IF(AND(ISNUMBER(E22),E22&lt;0.8),"Horas abaixo de 80%. ","")&amp;IF(AND(ISNUMBER(I22),I22&lt;0.6),"ML abaixo de 60%: +1 bloco. ","")&amp;IF(AND(ISNUMBER(J22),J22&lt;0.6),"Português abaixo de 60%: +1 bloco. ","")&amp;IF(AND(ISNUMBER(K22),K22&lt;0.6),"Direito abaixo de 60%: +1 bloco. ","")&amp;IF(AND(G22&gt;0,G22&lt;0.8*F22),"Questões abaixo da meta. ","")="","Dentro do plano",IF(AND(ISNUMBER(E22),E22&lt;0.8),"Horas abaixo de 80%. ","")&amp;IF(AND(ISNUMBER(I22),I22&lt;0.6),"ML abaixo de 60%: +1 bloco. ","")&amp;IF(AND(ISNUMBER(J22),J22&lt;0.6),"Português abaixo de 60%: +1 bloco. ","")&amp;IF(AND(ISNUMBER(K22),K22&lt;0.6),"Direito abaixo de 60%: +1 bloco. ","")&amp;IF(AND(G22&gt;0,G22&lt;0.8*F22),"Questões abaixo da meta. ","")))</f>
        <v/>
      </c>
    </row>
    <row r="23" customFormat="false" ht="15" hidden="false" customHeight="false" outlineLevel="0" collapsed="false">
      <c r="A23" s="7" t="n">
        <v>17</v>
      </c>
      <c r="B23" s="7" t="s">
        <v>178</v>
      </c>
      <c r="C23" s="7" t="n">
        <v>10</v>
      </c>
      <c r="D23" s="26" t="n">
        <f aca="false">SUMIFS('Registro diário'!$F$6:$F$504,'Registro diário'!$B$6:$B$504,A23)/60</f>
        <v>0</v>
      </c>
      <c r="E23" s="18" t="str">
        <f aca="false">IF(D23=0,"",D23/C23)</f>
        <v/>
      </c>
      <c r="F23" s="7" t="n">
        <v>70</v>
      </c>
      <c r="G23" s="7" t="n">
        <f aca="false">SUMIFS('Registro diário'!$G$6:$G$504,'Registro diário'!$B$6:$B$504,A23)</f>
        <v>0</v>
      </c>
      <c r="H23" s="18" t="str">
        <f aca="false">IF(G23=0,"",SUMIFS('Registro diário'!$H$6:$H$504,'Registro diário'!$B$6:$B$504,A23)/G23)</f>
        <v/>
      </c>
      <c r="I23" s="18" t="str">
        <f aca="false">IF(SUMIFS('Registro diário'!$G$6:$G$504,'Registro diário'!$B$6:$B$504,$A23,'Registro diário'!$C$6:$C$504,"Medicina Legal")=0,"",SUMIFS('Registro diário'!$H$6:$H$504,'Registro diário'!$B$6:$B$504,$A23,'Registro diário'!$C$6:$C$504,"Medicina Legal")/SUMIFS('Registro diário'!$G$6:$G$504,'Registro diário'!$B$6:$B$504,$A23,'Registro diário'!$C$6:$C$504,"Medicina Legal"))</f>
        <v/>
      </c>
      <c r="J23" s="18" t="str">
        <f aca="false">IF(SUMIFS('Registro diário'!$G$6:$G$504,'Registro diário'!$B$6:$B$504,$A23,'Registro diário'!$C$6:$C$504,"Português")=0,"",SUMIFS('Registro diário'!$H$6:$H$504,'Registro diário'!$B$6:$B$504,$A23,'Registro diário'!$C$6:$C$504,"Português")/SUMIFS('Registro diário'!$G$6:$G$504,'Registro diário'!$B$6:$B$504,$A23,'Registro diário'!$C$6:$C$504,"Português"))</f>
        <v/>
      </c>
      <c r="K23" s="18" t="str">
        <f aca="false">IF(SUMIFS('Registro diário'!$G$6:$G$504,'Registro diário'!$B$6:$B$504,$A23,'Registro diário'!$C$6:$C$504,"Direito")=0,"",SUMIFS('Registro diário'!$H$6:$H$504,'Registro diário'!$B$6:$B$504,$A23,'Registro diário'!$C$6:$C$504,"Direito")/SUMIFS('Registro diário'!$G$6:$G$504,'Registro diário'!$B$6:$B$504,$A23,'Registro diário'!$C$6:$C$504,"Direito"))</f>
        <v/>
      </c>
      <c r="L23" s="18" t="n">
        <f aca="false">COUNTIF(Edital!$D$7:$D$57,"&lt;="&amp;A23)/51</f>
        <v>0.882352941176471</v>
      </c>
      <c r="M23" s="8" t="str">
        <f aca="false">IF(D23=0,"",IF(IF(AND(ISNUMBER(E23),E23&lt;0.8),"Horas abaixo de 80%. ","")&amp;IF(AND(ISNUMBER(I23),I23&lt;0.6),"ML abaixo de 60%: +1 bloco. ","")&amp;IF(AND(ISNUMBER(J23),J23&lt;0.6),"Português abaixo de 60%: +1 bloco. ","")&amp;IF(AND(ISNUMBER(K23),K23&lt;0.6),"Direito abaixo de 60%: +1 bloco. ","")&amp;IF(AND(G23&gt;0,G23&lt;0.8*F23),"Questões abaixo da meta. ","")="","Dentro do plano",IF(AND(ISNUMBER(E23),E23&lt;0.8),"Horas abaixo de 80%. ","")&amp;IF(AND(ISNUMBER(I23),I23&lt;0.6),"ML abaixo de 60%: +1 bloco. ","")&amp;IF(AND(ISNUMBER(J23),J23&lt;0.6),"Português abaixo de 60%: +1 bloco. ","")&amp;IF(AND(ISNUMBER(K23),K23&lt;0.6),"Direito abaixo de 60%: +1 bloco. ","")&amp;IF(AND(G23&gt;0,G23&lt;0.8*F23),"Questões abaixo da meta. ","")))</f>
        <v/>
      </c>
    </row>
    <row r="24" customFormat="false" ht="15" hidden="false" customHeight="false" outlineLevel="0" collapsed="false">
      <c r="A24" s="7" t="n">
        <v>18</v>
      </c>
      <c r="B24" s="7" t="s">
        <v>183</v>
      </c>
      <c r="C24" s="7" t="n">
        <v>10</v>
      </c>
      <c r="D24" s="26" t="n">
        <f aca="false">SUMIFS('Registro diário'!$F$6:$F$504,'Registro diário'!$B$6:$B$504,A24)/60</f>
        <v>0</v>
      </c>
      <c r="E24" s="18" t="str">
        <f aca="false">IF(D24=0,"",D24/C24)</f>
        <v/>
      </c>
      <c r="F24" s="7" t="n">
        <v>70</v>
      </c>
      <c r="G24" s="7" t="n">
        <f aca="false">SUMIFS('Registro diário'!$G$6:$G$504,'Registro diário'!$B$6:$B$504,A24)</f>
        <v>0</v>
      </c>
      <c r="H24" s="18" t="str">
        <f aca="false">IF(G24=0,"",SUMIFS('Registro diário'!$H$6:$H$504,'Registro diário'!$B$6:$B$504,A24)/G24)</f>
        <v/>
      </c>
      <c r="I24" s="18" t="str">
        <f aca="false">IF(SUMIFS('Registro diário'!$G$6:$G$504,'Registro diário'!$B$6:$B$504,$A24,'Registro diário'!$C$6:$C$504,"Medicina Legal")=0,"",SUMIFS('Registro diário'!$H$6:$H$504,'Registro diário'!$B$6:$B$504,$A24,'Registro diário'!$C$6:$C$504,"Medicina Legal")/SUMIFS('Registro diário'!$G$6:$G$504,'Registro diário'!$B$6:$B$504,$A24,'Registro diário'!$C$6:$C$504,"Medicina Legal"))</f>
        <v/>
      </c>
      <c r="J24" s="18" t="str">
        <f aca="false">IF(SUMIFS('Registro diário'!$G$6:$G$504,'Registro diário'!$B$6:$B$504,$A24,'Registro diário'!$C$6:$C$504,"Português")=0,"",SUMIFS('Registro diário'!$H$6:$H$504,'Registro diário'!$B$6:$B$504,$A24,'Registro diário'!$C$6:$C$504,"Português")/SUMIFS('Registro diário'!$G$6:$G$504,'Registro diário'!$B$6:$B$504,$A24,'Registro diário'!$C$6:$C$504,"Português"))</f>
        <v/>
      </c>
      <c r="K24" s="18" t="str">
        <f aca="false">IF(SUMIFS('Registro diário'!$G$6:$G$504,'Registro diário'!$B$6:$B$504,$A24,'Registro diário'!$C$6:$C$504,"Direito")=0,"",SUMIFS('Registro diário'!$H$6:$H$504,'Registro diário'!$B$6:$B$504,$A24,'Registro diário'!$C$6:$C$504,"Direito")/SUMIFS('Registro diário'!$G$6:$G$504,'Registro diário'!$B$6:$B$504,$A24,'Registro diário'!$C$6:$C$504,"Direito"))</f>
        <v/>
      </c>
      <c r="L24" s="18" t="n">
        <f aca="false">COUNTIF(Edital!$D$7:$D$57,"&lt;="&amp;A24)/51</f>
        <v>0.941176470588235</v>
      </c>
      <c r="M24" s="8" t="str">
        <f aca="false">IF(D24=0,"",IF(IF(AND(ISNUMBER(E24),E24&lt;0.8),"Horas abaixo de 80%. ","")&amp;IF(AND(ISNUMBER(I24),I24&lt;0.6),"ML abaixo de 60%: +1 bloco. ","")&amp;IF(AND(ISNUMBER(J24),J24&lt;0.6),"Português abaixo de 60%: +1 bloco. ","")&amp;IF(AND(ISNUMBER(K24),K24&lt;0.6),"Direito abaixo de 60%: +1 bloco. ","")&amp;IF(AND(G24&gt;0,G24&lt;0.8*F24),"Questões abaixo da meta. ","")="","Dentro do plano",IF(AND(ISNUMBER(E24),E24&lt;0.8),"Horas abaixo de 80%. ","")&amp;IF(AND(ISNUMBER(I24),I24&lt;0.6),"ML abaixo de 60%: +1 bloco. ","")&amp;IF(AND(ISNUMBER(J24),J24&lt;0.6),"Português abaixo de 60%: +1 bloco. ","")&amp;IF(AND(ISNUMBER(K24),K24&lt;0.6),"Direito abaixo de 60%: +1 bloco. ","")&amp;IF(AND(G24&gt;0,G24&lt;0.8*F24),"Questões abaixo da meta. ","")))</f>
        <v/>
      </c>
    </row>
    <row r="25" customFormat="false" ht="15" hidden="false" customHeight="false" outlineLevel="0" collapsed="false">
      <c r="A25" s="7" t="n">
        <v>19</v>
      </c>
      <c r="B25" s="7" t="s">
        <v>189</v>
      </c>
      <c r="C25" s="7" t="n">
        <v>10</v>
      </c>
      <c r="D25" s="26" t="n">
        <f aca="false">SUMIFS('Registro diário'!$F$6:$F$504,'Registro diário'!$B$6:$B$504,A25)/60</f>
        <v>0</v>
      </c>
      <c r="E25" s="18" t="str">
        <f aca="false">IF(D25=0,"",D25/C25)</f>
        <v/>
      </c>
      <c r="F25" s="7" t="n">
        <v>70</v>
      </c>
      <c r="G25" s="7" t="n">
        <f aca="false">SUMIFS('Registro diário'!$G$6:$G$504,'Registro diário'!$B$6:$B$504,A25)</f>
        <v>0</v>
      </c>
      <c r="H25" s="18" t="str">
        <f aca="false">IF(G25=0,"",SUMIFS('Registro diário'!$H$6:$H$504,'Registro diário'!$B$6:$B$504,A25)/G25)</f>
        <v/>
      </c>
      <c r="I25" s="18" t="str">
        <f aca="false">IF(SUMIFS('Registro diário'!$G$6:$G$504,'Registro diário'!$B$6:$B$504,$A25,'Registro diário'!$C$6:$C$504,"Medicina Legal")=0,"",SUMIFS('Registro diário'!$H$6:$H$504,'Registro diário'!$B$6:$B$504,$A25,'Registro diário'!$C$6:$C$504,"Medicina Legal")/SUMIFS('Registro diário'!$G$6:$G$504,'Registro diário'!$B$6:$B$504,$A25,'Registro diário'!$C$6:$C$504,"Medicina Legal"))</f>
        <v/>
      </c>
      <c r="J25" s="18" t="str">
        <f aca="false">IF(SUMIFS('Registro diário'!$G$6:$G$504,'Registro diário'!$B$6:$B$504,$A25,'Registro diário'!$C$6:$C$504,"Português")=0,"",SUMIFS('Registro diário'!$H$6:$H$504,'Registro diário'!$B$6:$B$504,$A25,'Registro diário'!$C$6:$C$504,"Português")/SUMIFS('Registro diário'!$G$6:$G$504,'Registro diário'!$B$6:$B$504,$A25,'Registro diário'!$C$6:$C$504,"Português"))</f>
        <v/>
      </c>
      <c r="K25" s="18" t="str">
        <f aca="false">IF(SUMIFS('Registro diário'!$G$6:$G$504,'Registro diário'!$B$6:$B$504,$A25,'Registro diário'!$C$6:$C$504,"Direito")=0,"",SUMIFS('Registro diário'!$H$6:$H$504,'Registro diário'!$B$6:$B$504,$A25,'Registro diário'!$C$6:$C$504,"Direito")/SUMIFS('Registro diário'!$G$6:$G$504,'Registro diário'!$B$6:$B$504,$A25,'Registro diário'!$C$6:$C$504,"Direito"))</f>
        <v/>
      </c>
      <c r="L25" s="18" t="n">
        <f aca="false">COUNTIF(Edital!$D$7:$D$57,"&lt;="&amp;A25)/51</f>
        <v>0.980392156862745</v>
      </c>
      <c r="M25" s="8" t="str">
        <f aca="false">IF(D25=0,"",IF(IF(AND(ISNUMBER(E25),E25&lt;0.8),"Horas abaixo de 80%. ","")&amp;IF(AND(ISNUMBER(I25),I25&lt;0.6),"ML abaixo de 60%: +1 bloco. ","")&amp;IF(AND(ISNUMBER(J25),J25&lt;0.6),"Português abaixo de 60%: +1 bloco. ","")&amp;IF(AND(ISNUMBER(K25),K25&lt;0.6),"Direito abaixo de 60%: +1 bloco. ","")&amp;IF(AND(G25&gt;0,G25&lt;0.8*F25),"Questões abaixo da meta. ","")="","Dentro do plano",IF(AND(ISNUMBER(E25),E25&lt;0.8),"Horas abaixo de 80%. ","")&amp;IF(AND(ISNUMBER(I25),I25&lt;0.6),"ML abaixo de 60%: +1 bloco. ","")&amp;IF(AND(ISNUMBER(J25),J25&lt;0.6),"Português abaixo de 60%: +1 bloco. ","")&amp;IF(AND(ISNUMBER(K25),K25&lt;0.6),"Direito abaixo de 60%: +1 bloco. ","")&amp;IF(AND(G25&gt;0,G25&lt;0.8*F25),"Questões abaixo da meta. ","")))</f>
        <v/>
      </c>
    </row>
    <row r="26" customFormat="false" ht="15" hidden="false" customHeight="false" outlineLevel="0" collapsed="false">
      <c r="A26" s="7" t="n">
        <v>20</v>
      </c>
      <c r="B26" s="7" t="s">
        <v>195</v>
      </c>
      <c r="C26" s="7" t="n">
        <v>10</v>
      </c>
      <c r="D26" s="26" t="n">
        <f aca="false">SUMIFS('Registro diário'!$F$6:$F$504,'Registro diário'!$B$6:$B$504,A26)/60</f>
        <v>0</v>
      </c>
      <c r="E26" s="18" t="str">
        <f aca="false">IF(D26=0,"",D26/C26)</f>
        <v/>
      </c>
      <c r="F26" s="7" t="n">
        <v>70</v>
      </c>
      <c r="G26" s="7" t="n">
        <f aca="false">SUMIFS('Registro diário'!$G$6:$G$504,'Registro diário'!$B$6:$B$504,A26)</f>
        <v>0</v>
      </c>
      <c r="H26" s="18" t="str">
        <f aca="false">IF(G26=0,"",SUMIFS('Registro diário'!$H$6:$H$504,'Registro diário'!$B$6:$B$504,A26)/G26)</f>
        <v/>
      </c>
      <c r="I26" s="18" t="str">
        <f aca="false">IF(SUMIFS('Registro diário'!$G$6:$G$504,'Registro diário'!$B$6:$B$504,$A26,'Registro diário'!$C$6:$C$504,"Medicina Legal")=0,"",SUMIFS('Registro diário'!$H$6:$H$504,'Registro diário'!$B$6:$B$504,$A26,'Registro diário'!$C$6:$C$504,"Medicina Legal")/SUMIFS('Registro diário'!$G$6:$G$504,'Registro diário'!$B$6:$B$504,$A26,'Registro diário'!$C$6:$C$504,"Medicina Legal"))</f>
        <v/>
      </c>
      <c r="J26" s="18" t="str">
        <f aca="false">IF(SUMIFS('Registro diário'!$G$6:$G$504,'Registro diário'!$B$6:$B$504,$A26,'Registro diário'!$C$6:$C$504,"Português")=0,"",SUMIFS('Registro diário'!$H$6:$H$504,'Registro diário'!$B$6:$B$504,$A26,'Registro diário'!$C$6:$C$504,"Português")/SUMIFS('Registro diário'!$G$6:$G$504,'Registro diário'!$B$6:$B$504,$A26,'Registro diário'!$C$6:$C$504,"Português"))</f>
        <v/>
      </c>
      <c r="K26" s="18" t="str">
        <f aca="false">IF(SUMIFS('Registro diário'!$G$6:$G$504,'Registro diário'!$B$6:$B$504,$A26,'Registro diário'!$C$6:$C$504,"Direito")=0,"",SUMIFS('Registro diário'!$H$6:$H$504,'Registro diário'!$B$6:$B$504,$A26,'Registro diário'!$C$6:$C$504,"Direito")/SUMIFS('Registro diário'!$G$6:$G$504,'Registro diário'!$B$6:$B$504,$A26,'Registro diário'!$C$6:$C$504,"Direito"))</f>
        <v/>
      </c>
      <c r="L26" s="18" t="n">
        <f aca="false">COUNTIF(Edital!$D$7:$D$57,"&lt;="&amp;A26)/51</f>
        <v>1</v>
      </c>
      <c r="M26" s="8" t="str">
        <f aca="false">IF(D26=0,"",IF(IF(AND(ISNUMBER(E26),E26&lt;0.8),"Horas abaixo de 80%. ","")&amp;IF(AND(ISNUMBER(I26),I26&lt;0.6),"ML abaixo de 60%: +1 bloco. ","")&amp;IF(AND(ISNUMBER(J26),J26&lt;0.6),"Português abaixo de 60%: +1 bloco. ","")&amp;IF(AND(ISNUMBER(K26),K26&lt;0.6),"Direito abaixo de 60%: +1 bloco. ","")&amp;IF(AND(G26&gt;0,G26&lt;0.8*F26),"Questões abaixo da meta. ","")="","Dentro do plano",IF(AND(ISNUMBER(E26),E26&lt;0.8),"Horas abaixo de 80%. ","")&amp;IF(AND(ISNUMBER(I26),I26&lt;0.6),"ML abaixo de 60%: +1 bloco. ","")&amp;IF(AND(ISNUMBER(J26),J26&lt;0.6),"Português abaixo de 60%: +1 bloco. ","")&amp;IF(AND(ISNUMBER(K26),K26&lt;0.6),"Direito abaixo de 60%: +1 bloco. ","")&amp;IF(AND(G26&gt;0,G26&lt;0.8*F26),"Questões abaixo da meta. ","")))</f>
        <v/>
      </c>
    </row>
    <row r="27" customFormat="false" ht="15" hidden="false" customHeight="false" outlineLevel="0" collapsed="false">
      <c r="A27" s="7" t="n">
        <v>21</v>
      </c>
      <c r="B27" s="7" t="s">
        <v>201</v>
      </c>
      <c r="C27" s="7" t="n">
        <v>13</v>
      </c>
      <c r="D27" s="26" t="n">
        <f aca="false">SUMIFS('Registro diário'!$F$6:$F$504,'Registro diário'!$B$6:$B$504,A27)/60</f>
        <v>0</v>
      </c>
      <c r="E27" s="18" t="str">
        <f aca="false">IF(D27=0,"",D27/C27)</f>
        <v/>
      </c>
      <c r="F27" s="7" t="n">
        <v>120</v>
      </c>
      <c r="G27" s="7" t="n">
        <f aca="false">SUMIFS('Registro diário'!$G$6:$G$504,'Registro diário'!$B$6:$B$504,A27)</f>
        <v>0</v>
      </c>
      <c r="H27" s="18" t="str">
        <f aca="false">IF(G27=0,"",SUMIFS('Registro diário'!$H$6:$H$504,'Registro diário'!$B$6:$B$504,A27)/G27)</f>
        <v/>
      </c>
      <c r="I27" s="18" t="str">
        <f aca="false">IF(SUMIFS('Registro diário'!$G$6:$G$504,'Registro diário'!$B$6:$B$504,$A27,'Registro diário'!$C$6:$C$504,"Medicina Legal")=0,"",SUMIFS('Registro diário'!$H$6:$H$504,'Registro diário'!$B$6:$B$504,$A27,'Registro diário'!$C$6:$C$504,"Medicina Legal")/SUMIFS('Registro diário'!$G$6:$G$504,'Registro diário'!$B$6:$B$504,$A27,'Registro diário'!$C$6:$C$504,"Medicina Legal"))</f>
        <v/>
      </c>
      <c r="J27" s="18" t="str">
        <f aca="false">IF(SUMIFS('Registro diário'!$G$6:$G$504,'Registro diário'!$B$6:$B$504,$A27,'Registro diário'!$C$6:$C$504,"Português")=0,"",SUMIFS('Registro diário'!$H$6:$H$504,'Registro diário'!$B$6:$B$504,$A27,'Registro diário'!$C$6:$C$504,"Português")/SUMIFS('Registro diário'!$G$6:$G$504,'Registro diário'!$B$6:$B$504,$A27,'Registro diário'!$C$6:$C$504,"Português"))</f>
        <v/>
      </c>
      <c r="K27" s="18" t="str">
        <f aca="false">IF(SUMIFS('Registro diário'!$G$6:$G$504,'Registro diário'!$B$6:$B$504,$A27,'Registro diário'!$C$6:$C$504,"Direito")=0,"",SUMIFS('Registro diário'!$H$6:$H$504,'Registro diário'!$B$6:$B$504,$A27,'Registro diário'!$C$6:$C$504,"Direito")/SUMIFS('Registro diário'!$G$6:$G$504,'Registro diário'!$B$6:$B$504,$A27,'Registro diário'!$C$6:$C$504,"Direito"))</f>
        <v/>
      </c>
      <c r="L27" s="18" t="n">
        <f aca="false">COUNTIF(Edital!$D$7:$D$57,"&lt;="&amp;A27)/51</f>
        <v>1</v>
      </c>
      <c r="M27" s="8" t="str">
        <f aca="false">IF(D27=0,"",IF(IF(AND(ISNUMBER(E27),E27&lt;0.8),"Horas abaixo de 80%. ","")&amp;IF(AND(ISNUMBER(I27),I27&lt;0.6),"ML abaixo de 60%: +1 bloco. ","")&amp;IF(AND(ISNUMBER(J27),J27&lt;0.6),"Português abaixo de 60%: +1 bloco. ","")&amp;IF(AND(ISNUMBER(K27),K27&lt;0.6),"Direito abaixo de 60%: +1 bloco. ","")&amp;IF(AND(G27&gt;0,G27&lt;0.8*F27),"Questões abaixo da meta. ","")="","Dentro do plano",IF(AND(ISNUMBER(E27),E27&lt;0.8),"Horas abaixo de 80%. ","")&amp;IF(AND(ISNUMBER(I27),I27&lt;0.6),"ML abaixo de 60%: +1 bloco. ","")&amp;IF(AND(ISNUMBER(J27),J27&lt;0.6),"Português abaixo de 60%: +1 bloco. ","")&amp;IF(AND(ISNUMBER(K27),K27&lt;0.6),"Direito abaixo de 60%: +1 bloco. ","")&amp;IF(AND(G27&gt;0,G27&lt;0.8*F27),"Questões abaixo da meta. ","")))</f>
        <v/>
      </c>
    </row>
    <row r="28" customFormat="false" ht="15" hidden="false" customHeight="false" outlineLevel="0" collapsed="false">
      <c r="A28" s="7" t="n">
        <v>22</v>
      </c>
      <c r="B28" s="7" t="s">
        <v>210</v>
      </c>
      <c r="C28" s="7" t="n">
        <v>10</v>
      </c>
      <c r="D28" s="26" t="n">
        <f aca="false">SUMIFS('Registro diário'!$F$6:$F$504,'Registro diário'!$B$6:$B$504,A28)/60</f>
        <v>0</v>
      </c>
      <c r="E28" s="18" t="str">
        <f aca="false">IF(D28=0,"",D28/C28)</f>
        <v/>
      </c>
      <c r="F28" s="7" t="n">
        <v>120</v>
      </c>
      <c r="G28" s="7" t="n">
        <f aca="false">SUMIFS('Registro diário'!$G$6:$G$504,'Registro diário'!$B$6:$B$504,A28)</f>
        <v>0</v>
      </c>
      <c r="H28" s="18" t="str">
        <f aca="false">IF(G28=0,"",SUMIFS('Registro diário'!$H$6:$H$504,'Registro diário'!$B$6:$B$504,A28)/G28)</f>
        <v/>
      </c>
      <c r="I28" s="18" t="str">
        <f aca="false">IF(SUMIFS('Registro diário'!$G$6:$G$504,'Registro diário'!$B$6:$B$504,$A28,'Registro diário'!$C$6:$C$504,"Medicina Legal")=0,"",SUMIFS('Registro diário'!$H$6:$H$504,'Registro diário'!$B$6:$B$504,$A28,'Registro diário'!$C$6:$C$504,"Medicina Legal")/SUMIFS('Registro diário'!$G$6:$G$504,'Registro diário'!$B$6:$B$504,$A28,'Registro diário'!$C$6:$C$504,"Medicina Legal"))</f>
        <v/>
      </c>
      <c r="J28" s="18" t="str">
        <f aca="false">IF(SUMIFS('Registro diário'!$G$6:$G$504,'Registro diário'!$B$6:$B$504,$A28,'Registro diário'!$C$6:$C$504,"Português")=0,"",SUMIFS('Registro diário'!$H$6:$H$504,'Registro diário'!$B$6:$B$504,$A28,'Registro diário'!$C$6:$C$504,"Português")/SUMIFS('Registro diário'!$G$6:$G$504,'Registro diário'!$B$6:$B$504,$A28,'Registro diário'!$C$6:$C$504,"Português"))</f>
        <v/>
      </c>
      <c r="K28" s="18" t="str">
        <f aca="false">IF(SUMIFS('Registro diário'!$G$6:$G$504,'Registro diário'!$B$6:$B$504,$A28,'Registro diário'!$C$6:$C$504,"Direito")=0,"",SUMIFS('Registro diário'!$H$6:$H$504,'Registro diário'!$B$6:$B$504,$A28,'Registro diário'!$C$6:$C$504,"Direito")/SUMIFS('Registro diário'!$G$6:$G$504,'Registro diário'!$B$6:$B$504,$A28,'Registro diário'!$C$6:$C$504,"Direito"))</f>
        <v/>
      </c>
      <c r="L28" s="18" t="n">
        <f aca="false">COUNTIF(Edital!$D$7:$D$57,"&lt;="&amp;A28)/51</f>
        <v>1</v>
      </c>
      <c r="M28" s="8" t="str">
        <f aca="false">IF(D28=0,"",IF(IF(AND(ISNUMBER(E28),E28&lt;0.8),"Horas abaixo de 80%. ","")&amp;IF(AND(ISNUMBER(I28),I28&lt;0.6),"ML abaixo de 60%: +1 bloco. ","")&amp;IF(AND(ISNUMBER(J28),J28&lt;0.6),"Português abaixo de 60%: +1 bloco. ","")&amp;IF(AND(ISNUMBER(K28),K28&lt;0.6),"Direito abaixo de 60%: +1 bloco. ","")&amp;IF(AND(G28&gt;0,G28&lt;0.8*F28),"Questões abaixo da meta. ","")="","Dentro do plano",IF(AND(ISNUMBER(E28),E28&lt;0.8),"Horas abaixo de 80%. ","")&amp;IF(AND(ISNUMBER(I28),I28&lt;0.6),"ML abaixo de 60%: +1 bloco. ","")&amp;IF(AND(ISNUMBER(J28),J28&lt;0.6),"Português abaixo de 60%: +1 bloco. ","")&amp;IF(AND(ISNUMBER(K28),K28&lt;0.6),"Direito abaixo de 60%: +1 bloco. ","")&amp;IF(AND(G28&gt;0,G28&lt;0.8*F28),"Questões abaixo da meta. ","")))</f>
        <v/>
      </c>
    </row>
    <row r="29" customFormat="false" ht="15" hidden="false" customHeight="false" outlineLevel="0" collapsed="false">
      <c r="A29" s="7" t="n">
        <v>23</v>
      </c>
      <c r="B29" s="7" t="s">
        <v>215</v>
      </c>
      <c r="C29" s="7" t="n">
        <v>13</v>
      </c>
      <c r="D29" s="26" t="n">
        <f aca="false">SUMIFS('Registro diário'!$F$6:$F$504,'Registro diário'!$B$6:$B$504,A29)/60</f>
        <v>0</v>
      </c>
      <c r="E29" s="18" t="str">
        <f aca="false">IF(D29=0,"",D29/C29)</f>
        <v/>
      </c>
      <c r="F29" s="7" t="n">
        <v>120</v>
      </c>
      <c r="G29" s="7" t="n">
        <f aca="false">SUMIFS('Registro diário'!$G$6:$G$504,'Registro diário'!$B$6:$B$504,A29)</f>
        <v>0</v>
      </c>
      <c r="H29" s="18" t="str">
        <f aca="false">IF(G29=0,"",SUMIFS('Registro diário'!$H$6:$H$504,'Registro diário'!$B$6:$B$504,A29)/G29)</f>
        <v/>
      </c>
      <c r="I29" s="18" t="str">
        <f aca="false">IF(SUMIFS('Registro diário'!$G$6:$G$504,'Registro diário'!$B$6:$B$504,$A29,'Registro diário'!$C$6:$C$504,"Medicina Legal")=0,"",SUMIFS('Registro diário'!$H$6:$H$504,'Registro diário'!$B$6:$B$504,$A29,'Registro diário'!$C$6:$C$504,"Medicina Legal")/SUMIFS('Registro diário'!$G$6:$G$504,'Registro diário'!$B$6:$B$504,$A29,'Registro diário'!$C$6:$C$504,"Medicina Legal"))</f>
        <v/>
      </c>
      <c r="J29" s="18" t="str">
        <f aca="false">IF(SUMIFS('Registro diário'!$G$6:$G$504,'Registro diário'!$B$6:$B$504,$A29,'Registro diário'!$C$6:$C$504,"Português")=0,"",SUMIFS('Registro diário'!$H$6:$H$504,'Registro diário'!$B$6:$B$504,$A29,'Registro diário'!$C$6:$C$504,"Português")/SUMIFS('Registro diário'!$G$6:$G$504,'Registro diário'!$B$6:$B$504,$A29,'Registro diário'!$C$6:$C$504,"Português"))</f>
        <v/>
      </c>
      <c r="K29" s="18" t="str">
        <f aca="false">IF(SUMIFS('Registro diário'!$G$6:$G$504,'Registro diário'!$B$6:$B$504,$A29,'Registro diário'!$C$6:$C$504,"Direito")=0,"",SUMIFS('Registro diário'!$H$6:$H$504,'Registro diário'!$B$6:$B$504,$A29,'Registro diário'!$C$6:$C$504,"Direito")/SUMIFS('Registro diário'!$G$6:$G$504,'Registro diário'!$B$6:$B$504,$A29,'Registro diário'!$C$6:$C$504,"Direito"))</f>
        <v/>
      </c>
      <c r="L29" s="18" t="n">
        <f aca="false">COUNTIF(Edital!$D$7:$D$57,"&lt;="&amp;A29)/51</f>
        <v>1</v>
      </c>
      <c r="M29" s="8" t="str">
        <f aca="false">IF(D29=0,"",IF(IF(AND(ISNUMBER(E29),E29&lt;0.8),"Horas abaixo de 80%. ","")&amp;IF(AND(ISNUMBER(I29),I29&lt;0.6),"ML abaixo de 60%: +1 bloco. ","")&amp;IF(AND(ISNUMBER(J29),J29&lt;0.6),"Português abaixo de 60%: +1 bloco. ","")&amp;IF(AND(ISNUMBER(K29),K29&lt;0.6),"Direito abaixo de 60%: +1 bloco. ","")&amp;IF(AND(G29&gt;0,G29&lt;0.8*F29),"Questões abaixo da meta. ","")="","Dentro do plano",IF(AND(ISNUMBER(E29),E29&lt;0.8),"Horas abaixo de 80%. ","")&amp;IF(AND(ISNUMBER(I29),I29&lt;0.6),"ML abaixo de 60%: +1 bloco. ","")&amp;IF(AND(ISNUMBER(J29),J29&lt;0.6),"Português abaixo de 60%: +1 bloco. ","")&amp;IF(AND(ISNUMBER(K29),K29&lt;0.6),"Direito abaixo de 60%: +1 bloco. ","")&amp;IF(AND(G29&gt;0,G29&lt;0.8*F29),"Questões abaixo da meta. ","")))</f>
        <v/>
      </c>
    </row>
    <row r="30" customFormat="false" ht="15" hidden="false" customHeight="false" outlineLevel="0" collapsed="false">
      <c r="A30" s="7" t="n">
        <v>24</v>
      </c>
      <c r="B30" s="7" t="s">
        <v>222</v>
      </c>
      <c r="C30" s="7" t="n">
        <v>10</v>
      </c>
      <c r="D30" s="26" t="n">
        <f aca="false">SUMIFS('Registro diário'!$F$6:$F$504,'Registro diário'!$B$6:$B$504,A30)/60</f>
        <v>0</v>
      </c>
      <c r="E30" s="18" t="str">
        <f aca="false">IF(D30=0,"",D30/C30)</f>
        <v/>
      </c>
      <c r="F30" s="7" t="n">
        <v>120</v>
      </c>
      <c r="G30" s="7" t="n">
        <f aca="false">SUMIFS('Registro diário'!$G$6:$G$504,'Registro diário'!$B$6:$B$504,A30)</f>
        <v>0</v>
      </c>
      <c r="H30" s="18" t="str">
        <f aca="false">IF(G30=0,"",SUMIFS('Registro diário'!$H$6:$H$504,'Registro diário'!$B$6:$B$504,A30)/G30)</f>
        <v/>
      </c>
      <c r="I30" s="18" t="str">
        <f aca="false">IF(SUMIFS('Registro diário'!$G$6:$G$504,'Registro diário'!$B$6:$B$504,$A30,'Registro diário'!$C$6:$C$504,"Medicina Legal")=0,"",SUMIFS('Registro diário'!$H$6:$H$504,'Registro diário'!$B$6:$B$504,$A30,'Registro diário'!$C$6:$C$504,"Medicina Legal")/SUMIFS('Registro diário'!$G$6:$G$504,'Registro diário'!$B$6:$B$504,$A30,'Registro diário'!$C$6:$C$504,"Medicina Legal"))</f>
        <v/>
      </c>
      <c r="J30" s="18" t="str">
        <f aca="false">IF(SUMIFS('Registro diário'!$G$6:$G$504,'Registro diário'!$B$6:$B$504,$A30,'Registro diário'!$C$6:$C$504,"Português")=0,"",SUMIFS('Registro diário'!$H$6:$H$504,'Registro diário'!$B$6:$B$504,$A30,'Registro diário'!$C$6:$C$504,"Português")/SUMIFS('Registro diário'!$G$6:$G$504,'Registro diário'!$B$6:$B$504,$A30,'Registro diário'!$C$6:$C$504,"Português"))</f>
        <v/>
      </c>
      <c r="K30" s="18" t="str">
        <f aca="false">IF(SUMIFS('Registro diário'!$G$6:$G$504,'Registro diário'!$B$6:$B$504,$A30,'Registro diário'!$C$6:$C$504,"Direito")=0,"",SUMIFS('Registro diário'!$H$6:$H$504,'Registro diário'!$B$6:$B$504,$A30,'Registro diário'!$C$6:$C$504,"Direito")/SUMIFS('Registro diário'!$G$6:$G$504,'Registro diário'!$B$6:$B$504,$A30,'Registro diário'!$C$6:$C$504,"Direito"))</f>
        <v/>
      </c>
      <c r="L30" s="18" t="n">
        <f aca="false">COUNTIF(Edital!$D$7:$D$57,"&lt;="&amp;A30)/51</f>
        <v>1</v>
      </c>
      <c r="M30" s="8" t="str">
        <f aca="false">IF(D30=0,"",IF(IF(AND(ISNUMBER(E30),E30&lt;0.8),"Horas abaixo de 80%. ","")&amp;IF(AND(ISNUMBER(I30),I30&lt;0.6),"ML abaixo de 60%: +1 bloco. ","")&amp;IF(AND(ISNUMBER(J30),J30&lt;0.6),"Português abaixo de 60%: +1 bloco. ","")&amp;IF(AND(ISNUMBER(K30),K30&lt;0.6),"Direito abaixo de 60%: +1 bloco. ","")&amp;IF(AND(G30&gt;0,G30&lt;0.8*F30),"Questões abaixo da meta. ","")="","Dentro do plano",IF(AND(ISNUMBER(E30),E30&lt;0.8),"Horas abaixo de 80%. ","")&amp;IF(AND(ISNUMBER(I30),I30&lt;0.6),"ML abaixo de 60%: +1 bloco. ","")&amp;IF(AND(ISNUMBER(J30),J30&lt;0.6),"Português abaixo de 60%: +1 bloco. ","")&amp;IF(AND(ISNUMBER(K30),K30&lt;0.6),"Direito abaixo de 60%: +1 bloco. ","")&amp;IF(AND(G30&gt;0,G30&lt;0.8*F30),"Questões abaixo da meta. ","")))</f>
        <v/>
      </c>
    </row>
    <row r="31" customFormat="false" ht="15" hidden="false" customHeight="false" outlineLevel="0" collapsed="false">
      <c r="A31" s="7" t="n">
        <v>25</v>
      </c>
      <c r="B31" s="7" t="s">
        <v>228</v>
      </c>
      <c r="C31" s="7" t="n">
        <v>13</v>
      </c>
      <c r="D31" s="26" t="n">
        <f aca="false">SUMIFS('Registro diário'!$F$6:$F$504,'Registro diário'!$B$6:$B$504,A31)/60</f>
        <v>0</v>
      </c>
      <c r="E31" s="18" t="str">
        <f aca="false">IF(D31=0,"",D31/C31)</f>
        <v/>
      </c>
      <c r="F31" s="7" t="n">
        <v>120</v>
      </c>
      <c r="G31" s="7" t="n">
        <f aca="false">SUMIFS('Registro diário'!$G$6:$G$504,'Registro diário'!$B$6:$B$504,A31)</f>
        <v>0</v>
      </c>
      <c r="H31" s="18" t="str">
        <f aca="false">IF(G31=0,"",SUMIFS('Registro diário'!$H$6:$H$504,'Registro diário'!$B$6:$B$504,A31)/G31)</f>
        <v/>
      </c>
      <c r="I31" s="18" t="str">
        <f aca="false">IF(SUMIFS('Registro diário'!$G$6:$G$504,'Registro diário'!$B$6:$B$504,$A31,'Registro diário'!$C$6:$C$504,"Medicina Legal")=0,"",SUMIFS('Registro diário'!$H$6:$H$504,'Registro diário'!$B$6:$B$504,$A31,'Registro diário'!$C$6:$C$504,"Medicina Legal")/SUMIFS('Registro diário'!$G$6:$G$504,'Registro diário'!$B$6:$B$504,$A31,'Registro diário'!$C$6:$C$504,"Medicina Legal"))</f>
        <v/>
      </c>
      <c r="J31" s="18" t="str">
        <f aca="false">IF(SUMIFS('Registro diário'!$G$6:$G$504,'Registro diário'!$B$6:$B$504,$A31,'Registro diário'!$C$6:$C$504,"Português")=0,"",SUMIFS('Registro diário'!$H$6:$H$504,'Registro diário'!$B$6:$B$504,$A31,'Registro diário'!$C$6:$C$504,"Português")/SUMIFS('Registro diário'!$G$6:$G$504,'Registro diário'!$B$6:$B$504,$A31,'Registro diário'!$C$6:$C$504,"Português"))</f>
        <v/>
      </c>
      <c r="K31" s="18" t="str">
        <f aca="false">IF(SUMIFS('Registro diário'!$G$6:$G$504,'Registro diário'!$B$6:$B$504,$A31,'Registro diário'!$C$6:$C$504,"Direito")=0,"",SUMIFS('Registro diário'!$H$6:$H$504,'Registro diário'!$B$6:$B$504,$A31,'Registro diário'!$C$6:$C$504,"Direito")/SUMIFS('Registro diário'!$G$6:$G$504,'Registro diário'!$B$6:$B$504,$A31,'Registro diário'!$C$6:$C$504,"Direito"))</f>
        <v/>
      </c>
      <c r="L31" s="18" t="n">
        <f aca="false">COUNTIF(Edital!$D$7:$D$57,"&lt;="&amp;A31)/51</f>
        <v>1</v>
      </c>
      <c r="M31" s="8" t="str">
        <f aca="false">IF(D31=0,"",IF(IF(AND(ISNUMBER(E31),E31&lt;0.8),"Horas abaixo de 80%. ","")&amp;IF(AND(ISNUMBER(I31),I31&lt;0.6),"ML abaixo de 60%: +1 bloco. ","")&amp;IF(AND(ISNUMBER(J31),J31&lt;0.6),"Português abaixo de 60%: +1 bloco. ","")&amp;IF(AND(ISNUMBER(K31),K31&lt;0.6),"Direito abaixo de 60%: +1 bloco. ","")&amp;IF(AND(G31&gt;0,G31&lt;0.8*F31),"Questões abaixo da meta. ","")="","Dentro do plano",IF(AND(ISNUMBER(E31),E31&lt;0.8),"Horas abaixo de 80%. ","")&amp;IF(AND(ISNUMBER(I31),I31&lt;0.6),"ML abaixo de 60%: +1 bloco. ","")&amp;IF(AND(ISNUMBER(J31),J31&lt;0.6),"Português abaixo de 60%: +1 bloco. ","")&amp;IF(AND(ISNUMBER(K31),K31&lt;0.6),"Direito abaixo de 60%: +1 bloco. ","")&amp;IF(AND(G31&gt;0,G31&lt;0.8*F31),"Questões abaixo da meta. ","")))</f>
        <v/>
      </c>
    </row>
    <row r="32" customFormat="false" ht="15" hidden="false" customHeight="false" outlineLevel="0" collapsed="false">
      <c r="A32" s="7" t="n">
        <v>26</v>
      </c>
      <c r="B32" s="7" t="s">
        <v>235</v>
      </c>
      <c r="C32" s="7" t="n">
        <v>6</v>
      </c>
      <c r="D32" s="26" t="n">
        <f aca="false">SUMIFS('Registro diário'!$F$6:$F$504,'Registro diário'!$B$6:$B$504,A32)/60</f>
        <v>0</v>
      </c>
      <c r="E32" s="18" t="str">
        <f aca="false">IF(D32=0,"",D32/C32)</f>
        <v/>
      </c>
      <c r="F32" s="7" t="n">
        <v>40</v>
      </c>
      <c r="G32" s="7" t="n">
        <f aca="false">SUMIFS('Registro diário'!$G$6:$G$504,'Registro diário'!$B$6:$B$504,A32)</f>
        <v>0</v>
      </c>
      <c r="H32" s="18" t="str">
        <f aca="false">IF(G32=0,"",SUMIFS('Registro diário'!$H$6:$H$504,'Registro diário'!$B$6:$B$504,A32)/G32)</f>
        <v/>
      </c>
      <c r="I32" s="18" t="str">
        <f aca="false">IF(SUMIFS('Registro diário'!$G$6:$G$504,'Registro diário'!$B$6:$B$504,$A32,'Registro diário'!$C$6:$C$504,"Medicina Legal")=0,"",SUMIFS('Registro diário'!$H$6:$H$504,'Registro diário'!$B$6:$B$504,$A32,'Registro diário'!$C$6:$C$504,"Medicina Legal")/SUMIFS('Registro diário'!$G$6:$G$504,'Registro diário'!$B$6:$B$504,$A32,'Registro diário'!$C$6:$C$504,"Medicina Legal"))</f>
        <v/>
      </c>
      <c r="J32" s="18" t="str">
        <f aca="false">IF(SUMIFS('Registro diário'!$G$6:$G$504,'Registro diário'!$B$6:$B$504,$A32,'Registro diário'!$C$6:$C$504,"Português")=0,"",SUMIFS('Registro diário'!$H$6:$H$504,'Registro diário'!$B$6:$B$504,$A32,'Registro diário'!$C$6:$C$504,"Português")/SUMIFS('Registro diário'!$G$6:$G$504,'Registro diário'!$B$6:$B$504,$A32,'Registro diário'!$C$6:$C$504,"Português"))</f>
        <v/>
      </c>
      <c r="K32" s="18" t="str">
        <f aca="false">IF(SUMIFS('Registro diário'!$G$6:$G$504,'Registro diário'!$B$6:$B$504,$A32,'Registro diário'!$C$6:$C$504,"Direito")=0,"",SUMIFS('Registro diário'!$H$6:$H$504,'Registro diário'!$B$6:$B$504,$A32,'Registro diário'!$C$6:$C$504,"Direito")/SUMIFS('Registro diário'!$G$6:$G$504,'Registro diário'!$B$6:$B$504,$A32,'Registro diário'!$C$6:$C$504,"Direito"))</f>
        <v/>
      </c>
      <c r="L32" s="18" t="n">
        <f aca="false">COUNTIF(Edital!$D$7:$D$57,"&lt;="&amp;A32)/51</f>
        <v>1</v>
      </c>
      <c r="M32" s="8" t="str">
        <f aca="false">IF(D32=0,"",IF(IF(AND(ISNUMBER(E32),E32&lt;0.8),"Horas abaixo de 80%. ","")&amp;IF(AND(ISNUMBER(I32),I32&lt;0.6),"ML abaixo de 60%: +1 bloco. ","")&amp;IF(AND(ISNUMBER(J32),J32&lt;0.6),"Português abaixo de 60%: +1 bloco. ","")&amp;IF(AND(ISNUMBER(K32),K32&lt;0.6),"Direito abaixo de 60%: +1 bloco. ","")&amp;IF(AND(G32&gt;0,G32&lt;0.8*F32),"Questões abaixo da meta. ","")="","Dentro do plano",IF(AND(ISNUMBER(E32),E32&lt;0.8),"Horas abaixo de 80%. ","")&amp;IF(AND(ISNUMBER(I32),I32&lt;0.6),"ML abaixo de 60%: +1 bloco. ","")&amp;IF(AND(ISNUMBER(J32),J32&lt;0.6),"Português abaixo de 60%: +1 bloco. ","")&amp;IF(AND(ISNUMBER(K32),K32&lt;0.6),"Direito abaixo de 60%: +1 bloco. ","")&amp;IF(AND(G32&gt;0,G32&lt;0.8*F32),"Questões abaixo da meta. ","")))</f>
        <v/>
      </c>
    </row>
  </sheetData>
  <mergeCells count="3">
    <mergeCell ref="A3:B3"/>
    <mergeCell ref="D3:E3"/>
    <mergeCell ref="I3:J3"/>
  </mergeCells>
  <conditionalFormatting sqref="M7:M32">
    <cfRule type="expression" priority="2" aboveAverage="0" equalAverage="0" bottom="0" percent="0" rank="0" text="" dxfId="1">
      <formula>AND(M7&lt;&gt;"",M7&lt;&gt;"Dentro do plano")</formula>
    </cfRule>
    <cfRule type="cellIs" priority="3" operator="equal" aboveAverage="0" equalAverage="0" bottom="0" percent="0" rank="0" text="" dxfId="0">
      <formula>"Dentro do plano"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 t="s">
        <v>409</v>
      </c>
    </row>
    <row r="3" customFormat="false" ht="23.85" hidden="false" customHeight="false" outlineLevel="0" collapsed="false">
      <c r="A3" s="19" t="s">
        <v>410</v>
      </c>
      <c r="B3" s="16" t="n">
        <f aca="true">COUNTIFS(H7:H404,"&lt;="&amp;TODAY(),I7:I404,"&lt;&gt;Sim")</f>
        <v>0</v>
      </c>
      <c r="C3" s="16" t="s">
        <v>411</v>
      </c>
      <c r="D3" s="7" t="n">
        <f aca="false">COUNTIF(E7:E404,"Não sabia")</f>
        <v>0</v>
      </c>
      <c r="E3" s="16" t="s">
        <v>412</v>
      </c>
      <c r="F3" s="7" t="n">
        <f aca="false">COUNTIF(E7:E404,"Confundi conceitos")</f>
        <v>0</v>
      </c>
      <c r="G3" s="16" t="s">
        <v>413</v>
      </c>
      <c r="H3" s="7" t="n">
        <f aca="false">COUNTIF(E7:E404,"Interpretação")</f>
        <v>0</v>
      </c>
      <c r="I3" s="16" t="s">
        <v>414</v>
      </c>
      <c r="J3" s="7" t="n">
        <f aca="false">COUNTIF(E7:E404,"Falta de atenção")</f>
        <v>0</v>
      </c>
      <c r="K3" s="16" t="s">
        <v>415</v>
      </c>
      <c r="L3" s="7" t="n">
        <f aca="false">COUNTIF(E7:E404,"Tempo")</f>
        <v>0</v>
      </c>
    </row>
    <row r="5" customFormat="false" ht="23.85" hidden="false" customHeight="false" outlineLevel="0" collapsed="false">
      <c r="A5" s="24" t="s">
        <v>384</v>
      </c>
      <c r="B5" s="24" t="s">
        <v>37</v>
      </c>
      <c r="C5" s="24" t="s">
        <v>279</v>
      </c>
      <c r="D5" s="24" t="s">
        <v>416</v>
      </c>
      <c r="E5" s="24" t="s">
        <v>412</v>
      </c>
      <c r="F5" s="24" t="s">
        <v>417</v>
      </c>
      <c r="G5" s="24" t="s">
        <v>418</v>
      </c>
      <c r="H5" s="24" t="s">
        <v>419</v>
      </c>
      <c r="I5" s="24" t="s">
        <v>420</v>
      </c>
    </row>
    <row r="6" customFormat="false" ht="23.85" hidden="false" customHeight="false" outlineLevel="0" collapsed="false">
      <c r="A6" s="6" t="s">
        <v>387</v>
      </c>
      <c r="B6" s="6" t="s">
        <v>31</v>
      </c>
      <c r="C6" s="6" t="s">
        <v>388</v>
      </c>
      <c r="D6" s="6" t="s">
        <v>421</v>
      </c>
      <c r="E6" s="6" t="s">
        <v>422</v>
      </c>
      <c r="F6" s="6" t="s">
        <v>423</v>
      </c>
      <c r="G6" s="6" t="s">
        <v>424</v>
      </c>
      <c r="H6" s="6" t="s">
        <v>425</v>
      </c>
      <c r="I6" s="6" t="s">
        <v>426</v>
      </c>
    </row>
    <row r="7" customFormat="false" ht="15" hidden="false" customHeight="false" outlineLevel="0" collapsed="false">
      <c r="A7" s="21"/>
      <c r="B7" s="17"/>
      <c r="C7" s="17"/>
      <c r="D7" s="12"/>
      <c r="E7" s="17"/>
      <c r="F7" s="12"/>
      <c r="G7" s="12"/>
      <c r="H7" s="22" t="str">
        <f aca="false">IF(A7="","",A7+7)</f>
        <v/>
      </c>
      <c r="I7" s="17"/>
    </row>
    <row r="8" customFormat="false" ht="15" hidden="false" customHeight="false" outlineLevel="0" collapsed="false">
      <c r="A8" s="21"/>
      <c r="B8" s="17"/>
      <c r="C8" s="17"/>
      <c r="D8" s="12"/>
      <c r="E8" s="17"/>
      <c r="F8" s="12"/>
      <c r="G8" s="12"/>
      <c r="H8" s="22" t="str">
        <f aca="false">IF(A8="","",A8+7)</f>
        <v/>
      </c>
      <c r="I8" s="17"/>
    </row>
    <row r="9" customFormat="false" ht="15" hidden="false" customHeight="false" outlineLevel="0" collapsed="false">
      <c r="A9" s="21"/>
      <c r="B9" s="17"/>
      <c r="C9" s="17"/>
      <c r="D9" s="12"/>
      <c r="E9" s="17"/>
      <c r="F9" s="12"/>
      <c r="G9" s="12"/>
      <c r="H9" s="22" t="str">
        <f aca="false">IF(A9="","",A9+7)</f>
        <v/>
      </c>
      <c r="I9" s="17"/>
    </row>
    <row r="10" customFormat="false" ht="15" hidden="false" customHeight="false" outlineLevel="0" collapsed="false">
      <c r="A10" s="21"/>
      <c r="B10" s="17"/>
      <c r="C10" s="17"/>
      <c r="D10" s="12"/>
      <c r="E10" s="17"/>
      <c r="F10" s="12"/>
      <c r="G10" s="12"/>
      <c r="H10" s="22" t="str">
        <f aca="false">IF(A10="","",A10+7)</f>
        <v/>
      </c>
      <c r="I10" s="17"/>
    </row>
    <row r="11" customFormat="false" ht="15" hidden="false" customHeight="false" outlineLevel="0" collapsed="false">
      <c r="A11" s="21"/>
      <c r="B11" s="17"/>
      <c r="C11" s="17"/>
      <c r="D11" s="12"/>
      <c r="E11" s="17"/>
      <c r="F11" s="12"/>
      <c r="G11" s="12"/>
      <c r="H11" s="22" t="str">
        <f aca="false">IF(A11="","",A11+7)</f>
        <v/>
      </c>
      <c r="I11" s="17"/>
    </row>
    <row r="12" customFormat="false" ht="15" hidden="false" customHeight="false" outlineLevel="0" collapsed="false">
      <c r="A12" s="21"/>
      <c r="B12" s="17"/>
      <c r="C12" s="17"/>
      <c r="D12" s="12"/>
      <c r="E12" s="17"/>
      <c r="F12" s="12"/>
      <c r="G12" s="12"/>
      <c r="H12" s="22" t="str">
        <f aca="false">IF(A12="","",A12+7)</f>
        <v/>
      </c>
      <c r="I12" s="17"/>
    </row>
    <row r="13" customFormat="false" ht="15" hidden="false" customHeight="false" outlineLevel="0" collapsed="false">
      <c r="A13" s="21"/>
      <c r="B13" s="17"/>
      <c r="C13" s="17"/>
      <c r="D13" s="12"/>
      <c r="E13" s="17"/>
      <c r="F13" s="12"/>
      <c r="G13" s="12"/>
      <c r="H13" s="22" t="str">
        <f aca="false">IF(A13="","",A13+7)</f>
        <v/>
      </c>
      <c r="I13" s="17"/>
    </row>
    <row r="14" customFormat="false" ht="15" hidden="false" customHeight="false" outlineLevel="0" collapsed="false">
      <c r="A14" s="21"/>
      <c r="B14" s="17"/>
      <c r="C14" s="17"/>
      <c r="D14" s="12"/>
      <c r="E14" s="17"/>
      <c r="F14" s="12"/>
      <c r="G14" s="12"/>
      <c r="H14" s="22" t="str">
        <f aca="false">IF(A14="","",A14+7)</f>
        <v/>
      </c>
      <c r="I14" s="17"/>
    </row>
    <row r="15" customFormat="false" ht="15" hidden="false" customHeight="false" outlineLevel="0" collapsed="false">
      <c r="A15" s="21"/>
      <c r="B15" s="17"/>
      <c r="C15" s="17"/>
      <c r="D15" s="12"/>
      <c r="E15" s="17"/>
      <c r="F15" s="12"/>
      <c r="G15" s="12"/>
      <c r="H15" s="22" t="str">
        <f aca="false">IF(A15="","",A15+7)</f>
        <v/>
      </c>
      <c r="I15" s="17"/>
    </row>
    <row r="16" customFormat="false" ht="15" hidden="false" customHeight="false" outlineLevel="0" collapsed="false">
      <c r="A16" s="21"/>
      <c r="B16" s="17"/>
      <c r="C16" s="17"/>
      <c r="D16" s="12"/>
      <c r="E16" s="17"/>
      <c r="F16" s="12"/>
      <c r="G16" s="12"/>
      <c r="H16" s="22" t="str">
        <f aca="false">IF(A16="","",A16+7)</f>
        <v/>
      </c>
      <c r="I16" s="17"/>
    </row>
    <row r="17" customFormat="false" ht="15" hidden="false" customHeight="false" outlineLevel="0" collapsed="false">
      <c r="A17" s="21"/>
      <c r="B17" s="17"/>
      <c r="C17" s="17"/>
      <c r="D17" s="12"/>
      <c r="E17" s="17"/>
      <c r="F17" s="12"/>
      <c r="G17" s="12"/>
      <c r="H17" s="22" t="str">
        <f aca="false">IF(A17="","",A17+7)</f>
        <v/>
      </c>
      <c r="I17" s="17"/>
    </row>
    <row r="18" customFormat="false" ht="15" hidden="false" customHeight="false" outlineLevel="0" collapsed="false">
      <c r="A18" s="21"/>
      <c r="B18" s="17"/>
      <c r="C18" s="17"/>
      <c r="D18" s="12"/>
      <c r="E18" s="17"/>
      <c r="F18" s="12"/>
      <c r="G18" s="12"/>
      <c r="H18" s="22" t="str">
        <f aca="false">IF(A18="","",A18+7)</f>
        <v/>
      </c>
      <c r="I18" s="17"/>
    </row>
    <row r="19" customFormat="false" ht="15" hidden="false" customHeight="false" outlineLevel="0" collapsed="false">
      <c r="A19" s="21"/>
      <c r="B19" s="17"/>
      <c r="C19" s="17"/>
      <c r="D19" s="12"/>
      <c r="E19" s="17"/>
      <c r="F19" s="12"/>
      <c r="G19" s="12"/>
      <c r="H19" s="22" t="str">
        <f aca="false">IF(A19="","",A19+7)</f>
        <v/>
      </c>
      <c r="I19" s="17"/>
    </row>
    <row r="20" customFormat="false" ht="15" hidden="false" customHeight="false" outlineLevel="0" collapsed="false">
      <c r="A20" s="21"/>
      <c r="B20" s="17"/>
      <c r="C20" s="17"/>
      <c r="D20" s="12"/>
      <c r="E20" s="17"/>
      <c r="F20" s="12"/>
      <c r="G20" s="12"/>
      <c r="H20" s="22" t="str">
        <f aca="false">IF(A20="","",A20+7)</f>
        <v/>
      </c>
      <c r="I20" s="17"/>
    </row>
    <row r="21" customFormat="false" ht="15" hidden="false" customHeight="false" outlineLevel="0" collapsed="false">
      <c r="A21" s="21"/>
      <c r="B21" s="17"/>
      <c r="C21" s="17"/>
      <c r="D21" s="12"/>
      <c r="E21" s="17"/>
      <c r="F21" s="12"/>
      <c r="G21" s="12"/>
      <c r="H21" s="22" t="str">
        <f aca="false">IF(A21="","",A21+7)</f>
        <v/>
      </c>
      <c r="I21" s="17"/>
    </row>
    <row r="22" customFormat="false" ht="15" hidden="false" customHeight="false" outlineLevel="0" collapsed="false">
      <c r="A22" s="21"/>
      <c r="B22" s="17"/>
      <c r="C22" s="17"/>
      <c r="D22" s="12"/>
      <c r="E22" s="17"/>
      <c r="F22" s="12"/>
      <c r="G22" s="12"/>
      <c r="H22" s="22" t="str">
        <f aca="false">IF(A22="","",A22+7)</f>
        <v/>
      </c>
      <c r="I22" s="17"/>
    </row>
    <row r="23" customFormat="false" ht="15" hidden="false" customHeight="false" outlineLevel="0" collapsed="false">
      <c r="A23" s="21"/>
      <c r="B23" s="17"/>
      <c r="C23" s="17"/>
      <c r="D23" s="12"/>
      <c r="E23" s="17"/>
      <c r="F23" s="12"/>
      <c r="G23" s="12"/>
      <c r="H23" s="22" t="str">
        <f aca="false">IF(A23="","",A23+7)</f>
        <v/>
      </c>
      <c r="I23" s="17"/>
    </row>
    <row r="24" customFormat="false" ht="15" hidden="false" customHeight="false" outlineLevel="0" collapsed="false">
      <c r="A24" s="21"/>
      <c r="B24" s="17"/>
      <c r="C24" s="17"/>
      <c r="D24" s="12"/>
      <c r="E24" s="17"/>
      <c r="F24" s="12"/>
      <c r="G24" s="12"/>
      <c r="H24" s="22" t="str">
        <f aca="false">IF(A24="","",A24+7)</f>
        <v/>
      </c>
      <c r="I24" s="17"/>
    </row>
    <row r="25" customFormat="false" ht="15" hidden="false" customHeight="false" outlineLevel="0" collapsed="false">
      <c r="A25" s="21"/>
      <c r="B25" s="17"/>
      <c r="C25" s="17"/>
      <c r="D25" s="12"/>
      <c r="E25" s="17"/>
      <c r="F25" s="12"/>
      <c r="G25" s="12"/>
      <c r="H25" s="22" t="str">
        <f aca="false">IF(A25="","",A25+7)</f>
        <v/>
      </c>
      <c r="I25" s="17"/>
    </row>
    <row r="26" customFormat="false" ht="15" hidden="false" customHeight="false" outlineLevel="0" collapsed="false">
      <c r="A26" s="21"/>
      <c r="B26" s="17"/>
      <c r="C26" s="17"/>
      <c r="D26" s="12"/>
      <c r="E26" s="17"/>
      <c r="F26" s="12"/>
      <c r="G26" s="12"/>
      <c r="H26" s="22" t="str">
        <f aca="false">IF(A26="","",A26+7)</f>
        <v/>
      </c>
      <c r="I26" s="17"/>
    </row>
    <row r="27" customFormat="false" ht="15" hidden="false" customHeight="false" outlineLevel="0" collapsed="false">
      <c r="A27" s="21"/>
      <c r="B27" s="17"/>
      <c r="C27" s="17"/>
      <c r="D27" s="12"/>
      <c r="E27" s="17"/>
      <c r="F27" s="12"/>
      <c r="G27" s="12"/>
      <c r="H27" s="22" t="str">
        <f aca="false">IF(A27="","",A27+7)</f>
        <v/>
      </c>
      <c r="I27" s="17"/>
    </row>
    <row r="28" customFormat="false" ht="15" hidden="false" customHeight="false" outlineLevel="0" collapsed="false">
      <c r="A28" s="21"/>
      <c r="B28" s="17"/>
      <c r="C28" s="17"/>
      <c r="D28" s="12"/>
      <c r="E28" s="17"/>
      <c r="F28" s="12"/>
      <c r="G28" s="12"/>
      <c r="H28" s="22" t="str">
        <f aca="false">IF(A28="","",A28+7)</f>
        <v/>
      </c>
      <c r="I28" s="17"/>
    </row>
    <row r="29" customFormat="false" ht="15" hidden="false" customHeight="false" outlineLevel="0" collapsed="false">
      <c r="A29" s="21"/>
      <c r="B29" s="17"/>
      <c r="C29" s="17"/>
      <c r="D29" s="12"/>
      <c r="E29" s="17"/>
      <c r="F29" s="12"/>
      <c r="G29" s="12"/>
      <c r="H29" s="22" t="str">
        <f aca="false">IF(A29="","",A29+7)</f>
        <v/>
      </c>
      <c r="I29" s="17"/>
    </row>
    <row r="30" customFormat="false" ht="15" hidden="false" customHeight="false" outlineLevel="0" collapsed="false">
      <c r="A30" s="21"/>
      <c r="B30" s="17"/>
      <c r="C30" s="17"/>
      <c r="D30" s="12"/>
      <c r="E30" s="17"/>
      <c r="F30" s="12"/>
      <c r="G30" s="12"/>
      <c r="H30" s="22" t="str">
        <f aca="false">IF(A30="","",A30+7)</f>
        <v/>
      </c>
      <c r="I30" s="17"/>
    </row>
    <row r="31" customFormat="false" ht="15" hidden="false" customHeight="false" outlineLevel="0" collapsed="false">
      <c r="A31" s="21"/>
      <c r="B31" s="17"/>
      <c r="C31" s="17"/>
      <c r="D31" s="12"/>
      <c r="E31" s="17"/>
      <c r="F31" s="12"/>
      <c r="G31" s="12"/>
      <c r="H31" s="22" t="str">
        <f aca="false">IF(A31="","",A31+7)</f>
        <v/>
      </c>
      <c r="I31" s="17"/>
    </row>
    <row r="32" customFormat="false" ht="15" hidden="false" customHeight="false" outlineLevel="0" collapsed="false">
      <c r="A32" s="21"/>
      <c r="B32" s="17"/>
      <c r="C32" s="17"/>
      <c r="D32" s="12"/>
      <c r="E32" s="17"/>
      <c r="F32" s="12"/>
      <c r="G32" s="12"/>
      <c r="H32" s="22" t="str">
        <f aca="false">IF(A32="","",A32+7)</f>
        <v/>
      </c>
      <c r="I32" s="17"/>
    </row>
    <row r="33" customFormat="false" ht="15" hidden="false" customHeight="false" outlineLevel="0" collapsed="false">
      <c r="A33" s="21"/>
      <c r="B33" s="17"/>
      <c r="C33" s="17"/>
      <c r="D33" s="12"/>
      <c r="E33" s="17"/>
      <c r="F33" s="12"/>
      <c r="G33" s="12"/>
      <c r="H33" s="22" t="str">
        <f aca="false">IF(A33="","",A33+7)</f>
        <v/>
      </c>
      <c r="I33" s="17"/>
    </row>
    <row r="34" customFormat="false" ht="15" hidden="false" customHeight="false" outlineLevel="0" collapsed="false">
      <c r="A34" s="21"/>
      <c r="B34" s="17"/>
      <c r="C34" s="17"/>
      <c r="D34" s="12"/>
      <c r="E34" s="17"/>
      <c r="F34" s="12"/>
      <c r="G34" s="12"/>
      <c r="H34" s="22" t="str">
        <f aca="false">IF(A34="","",A34+7)</f>
        <v/>
      </c>
      <c r="I34" s="17"/>
    </row>
    <row r="35" customFormat="false" ht="15" hidden="false" customHeight="false" outlineLevel="0" collapsed="false">
      <c r="A35" s="21"/>
      <c r="B35" s="17"/>
      <c r="C35" s="17"/>
      <c r="D35" s="12"/>
      <c r="E35" s="17"/>
      <c r="F35" s="12"/>
      <c r="G35" s="12"/>
      <c r="H35" s="22" t="str">
        <f aca="false">IF(A35="","",A35+7)</f>
        <v/>
      </c>
      <c r="I35" s="17"/>
    </row>
    <row r="36" customFormat="false" ht="15" hidden="false" customHeight="false" outlineLevel="0" collapsed="false">
      <c r="A36" s="21"/>
      <c r="B36" s="17"/>
      <c r="C36" s="17"/>
      <c r="D36" s="12"/>
      <c r="E36" s="17"/>
      <c r="F36" s="12"/>
      <c r="G36" s="12"/>
      <c r="H36" s="22" t="str">
        <f aca="false">IF(A36="","",A36+7)</f>
        <v/>
      </c>
      <c r="I36" s="17"/>
    </row>
    <row r="37" customFormat="false" ht="15" hidden="false" customHeight="false" outlineLevel="0" collapsed="false">
      <c r="A37" s="21"/>
      <c r="B37" s="17"/>
      <c r="C37" s="17"/>
      <c r="D37" s="12"/>
      <c r="E37" s="17"/>
      <c r="F37" s="12"/>
      <c r="G37" s="12"/>
      <c r="H37" s="22" t="str">
        <f aca="false">IF(A37="","",A37+7)</f>
        <v/>
      </c>
      <c r="I37" s="17"/>
    </row>
    <row r="38" customFormat="false" ht="15" hidden="false" customHeight="false" outlineLevel="0" collapsed="false">
      <c r="A38" s="21"/>
      <c r="B38" s="17"/>
      <c r="C38" s="17"/>
      <c r="D38" s="12"/>
      <c r="E38" s="17"/>
      <c r="F38" s="12"/>
      <c r="G38" s="12"/>
      <c r="H38" s="22" t="str">
        <f aca="false">IF(A38="","",A38+7)</f>
        <v/>
      </c>
      <c r="I38" s="17"/>
    </row>
    <row r="39" customFormat="false" ht="15" hidden="false" customHeight="false" outlineLevel="0" collapsed="false">
      <c r="A39" s="21"/>
      <c r="B39" s="17"/>
      <c r="C39" s="17"/>
      <c r="D39" s="12"/>
      <c r="E39" s="17"/>
      <c r="F39" s="12"/>
      <c r="G39" s="12"/>
      <c r="H39" s="22" t="str">
        <f aca="false">IF(A39="","",A39+7)</f>
        <v/>
      </c>
      <c r="I39" s="17"/>
    </row>
    <row r="40" customFormat="false" ht="15" hidden="false" customHeight="false" outlineLevel="0" collapsed="false">
      <c r="A40" s="21"/>
      <c r="B40" s="17"/>
      <c r="C40" s="17"/>
      <c r="D40" s="12"/>
      <c r="E40" s="17"/>
      <c r="F40" s="12"/>
      <c r="G40" s="12"/>
      <c r="H40" s="22" t="str">
        <f aca="false">IF(A40="","",A40+7)</f>
        <v/>
      </c>
      <c r="I40" s="17"/>
    </row>
    <row r="41" customFormat="false" ht="15" hidden="false" customHeight="false" outlineLevel="0" collapsed="false">
      <c r="A41" s="21"/>
      <c r="B41" s="17"/>
      <c r="C41" s="17"/>
      <c r="D41" s="12"/>
      <c r="E41" s="17"/>
      <c r="F41" s="12"/>
      <c r="G41" s="12"/>
      <c r="H41" s="22" t="str">
        <f aca="false">IF(A41="","",A41+7)</f>
        <v/>
      </c>
      <c r="I41" s="17"/>
    </row>
    <row r="42" customFormat="false" ht="15" hidden="false" customHeight="false" outlineLevel="0" collapsed="false">
      <c r="A42" s="21"/>
      <c r="B42" s="17"/>
      <c r="C42" s="17"/>
      <c r="D42" s="12"/>
      <c r="E42" s="17"/>
      <c r="F42" s="12"/>
      <c r="G42" s="12"/>
      <c r="H42" s="22" t="str">
        <f aca="false">IF(A42="","",A42+7)</f>
        <v/>
      </c>
      <c r="I42" s="17"/>
    </row>
    <row r="43" customFormat="false" ht="15" hidden="false" customHeight="false" outlineLevel="0" collapsed="false">
      <c r="A43" s="21"/>
      <c r="B43" s="17"/>
      <c r="C43" s="17"/>
      <c r="D43" s="12"/>
      <c r="E43" s="17"/>
      <c r="F43" s="12"/>
      <c r="G43" s="12"/>
      <c r="H43" s="22" t="str">
        <f aca="false">IF(A43="","",A43+7)</f>
        <v/>
      </c>
      <c r="I43" s="17"/>
    </row>
    <row r="44" customFormat="false" ht="15" hidden="false" customHeight="false" outlineLevel="0" collapsed="false">
      <c r="A44" s="21"/>
      <c r="B44" s="17"/>
      <c r="C44" s="17"/>
      <c r="D44" s="12"/>
      <c r="E44" s="17"/>
      <c r="F44" s="12"/>
      <c r="G44" s="12"/>
      <c r="H44" s="22" t="str">
        <f aca="false">IF(A44="","",A44+7)</f>
        <v/>
      </c>
      <c r="I44" s="17"/>
    </row>
    <row r="45" customFormat="false" ht="15" hidden="false" customHeight="false" outlineLevel="0" collapsed="false">
      <c r="A45" s="21"/>
      <c r="B45" s="17"/>
      <c r="C45" s="17"/>
      <c r="D45" s="12"/>
      <c r="E45" s="17"/>
      <c r="F45" s="12"/>
      <c r="G45" s="12"/>
      <c r="H45" s="22" t="str">
        <f aca="false">IF(A45="","",A45+7)</f>
        <v/>
      </c>
      <c r="I45" s="17"/>
    </row>
    <row r="46" customFormat="false" ht="15" hidden="false" customHeight="false" outlineLevel="0" collapsed="false">
      <c r="A46" s="21"/>
      <c r="B46" s="17"/>
      <c r="C46" s="17"/>
      <c r="D46" s="12"/>
      <c r="E46" s="17"/>
      <c r="F46" s="12"/>
      <c r="G46" s="12"/>
      <c r="H46" s="22" t="str">
        <f aca="false">IF(A46="","",A46+7)</f>
        <v/>
      </c>
      <c r="I46" s="17"/>
    </row>
    <row r="47" customFormat="false" ht="15" hidden="false" customHeight="false" outlineLevel="0" collapsed="false">
      <c r="A47" s="21"/>
      <c r="B47" s="17"/>
      <c r="C47" s="17"/>
      <c r="D47" s="12"/>
      <c r="E47" s="17"/>
      <c r="F47" s="12"/>
      <c r="G47" s="12"/>
      <c r="H47" s="22" t="str">
        <f aca="false">IF(A47="","",A47+7)</f>
        <v/>
      </c>
      <c r="I47" s="17"/>
    </row>
    <row r="48" customFormat="false" ht="15" hidden="false" customHeight="false" outlineLevel="0" collapsed="false">
      <c r="A48" s="21"/>
      <c r="B48" s="17"/>
      <c r="C48" s="17"/>
      <c r="D48" s="12"/>
      <c r="E48" s="17"/>
      <c r="F48" s="12"/>
      <c r="G48" s="12"/>
      <c r="H48" s="22" t="str">
        <f aca="false">IF(A48="","",A48+7)</f>
        <v/>
      </c>
      <c r="I48" s="17"/>
    </row>
    <row r="49" customFormat="false" ht="15" hidden="false" customHeight="false" outlineLevel="0" collapsed="false">
      <c r="A49" s="21"/>
      <c r="B49" s="17"/>
      <c r="C49" s="17"/>
      <c r="D49" s="12"/>
      <c r="E49" s="17"/>
      <c r="F49" s="12"/>
      <c r="G49" s="12"/>
      <c r="H49" s="22" t="str">
        <f aca="false">IF(A49="","",A49+7)</f>
        <v/>
      </c>
      <c r="I49" s="17"/>
    </row>
    <row r="50" customFormat="false" ht="15" hidden="false" customHeight="false" outlineLevel="0" collapsed="false">
      <c r="A50" s="21"/>
      <c r="B50" s="17"/>
      <c r="C50" s="17"/>
      <c r="D50" s="12"/>
      <c r="E50" s="17"/>
      <c r="F50" s="12"/>
      <c r="G50" s="12"/>
      <c r="H50" s="22" t="str">
        <f aca="false">IF(A50="","",A50+7)</f>
        <v/>
      </c>
      <c r="I50" s="17"/>
    </row>
    <row r="51" customFormat="false" ht="15" hidden="false" customHeight="false" outlineLevel="0" collapsed="false">
      <c r="A51" s="21"/>
      <c r="B51" s="17"/>
      <c r="C51" s="17"/>
      <c r="D51" s="12"/>
      <c r="E51" s="17"/>
      <c r="F51" s="12"/>
      <c r="G51" s="12"/>
      <c r="H51" s="22" t="str">
        <f aca="false">IF(A51="","",A51+7)</f>
        <v/>
      </c>
      <c r="I51" s="17"/>
    </row>
    <row r="52" customFormat="false" ht="15" hidden="false" customHeight="false" outlineLevel="0" collapsed="false">
      <c r="A52" s="21"/>
      <c r="B52" s="17"/>
      <c r="C52" s="17"/>
      <c r="D52" s="12"/>
      <c r="E52" s="17"/>
      <c r="F52" s="12"/>
      <c r="G52" s="12"/>
      <c r="H52" s="22" t="str">
        <f aca="false">IF(A52="","",A52+7)</f>
        <v/>
      </c>
      <c r="I52" s="17"/>
    </row>
    <row r="53" customFormat="false" ht="15" hidden="false" customHeight="false" outlineLevel="0" collapsed="false">
      <c r="A53" s="21"/>
      <c r="B53" s="17"/>
      <c r="C53" s="17"/>
      <c r="D53" s="12"/>
      <c r="E53" s="17"/>
      <c r="F53" s="12"/>
      <c r="G53" s="12"/>
      <c r="H53" s="22" t="str">
        <f aca="false">IF(A53="","",A53+7)</f>
        <v/>
      </c>
      <c r="I53" s="17"/>
    </row>
    <row r="54" customFormat="false" ht="15" hidden="false" customHeight="false" outlineLevel="0" collapsed="false">
      <c r="A54" s="21"/>
      <c r="B54" s="17"/>
      <c r="C54" s="17"/>
      <c r="D54" s="12"/>
      <c r="E54" s="17"/>
      <c r="F54" s="12"/>
      <c r="G54" s="12"/>
      <c r="H54" s="22" t="str">
        <f aca="false">IF(A54="","",A54+7)</f>
        <v/>
      </c>
      <c r="I54" s="17"/>
    </row>
    <row r="55" customFormat="false" ht="15" hidden="false" customHeight="false" outlineLevel="0" collapsed="false">
      <c r="A55" s="21"/>
      <c r="B55" s="17"/>
      <c r="C55" s="17"/>
      <c r="D55" s="12"/>
      <c r="E55" s="17"/>
      <c r="F55" s="12"/>
      <c r="G55" s="12"/>
      <c r="H55" s="22" t="str">
        <f aca="false">IF(A55="","",A55+7)</f>
        <v/>
      </c>
      <c r="I55" s="17"/>
    </row>
    <row r="56" customFormat="false" ht="15" hidden="false" customHeight="false" outlineLevel="0" collapsed="false">
      <c r="A56" s="21"/>
      <c r="B56" s="17"/>
      <c r="C56" s="17"/>
      <c r="D56" s="12"/>
      <c r="E56" s="17"/>
      <c r="F56" s="12"/>
      <c r="G56" s="12"/>
      <c r="H56" s="22" t="str">
        <f aca="false">IF(A56="","",A56+7)</f>
        <v/>
      </c>
      <c r="I56" s="17"/>
    </row>
    <row r="57" customFormat="false" ht="15" hidden="false" customHeight="false" outlineLevel="0" collapsed="false">
      <c r="A57" s="21"/>
      <c r="B57" s="17"/>
      <c r="C57" s="17"/>
      <c r="D57" s="12"/>
      <c r="E57" s="17"/>
      <c r="F57" s="12"/>
      <c r="G57" s="12"/>
      <c r="H57" s="22" t="str">
        <f aca="false">IF(A57="","",A57+7)</f>
        <v/>
      </c>
      <c r="I57" s="17"/>
    </row>
    <row r="58" customFormat="false" ht="15" hidden="false" customHeight="false" outlineLevel="0" collapsed="false">
      <c r="A58" s="21"/>
      <c r="B58" s="17"/>
      <c r="C58" s="17"/>
      <c r="D58" s="12"/>
      <c r="E58" s="17"/>
      <c r="F58" s="12"/>
      <c r="G58" s="12"/>
      <c r="H58" s="22" t="str">
        <f aca="false">IF(A58="","",A58+7)</f>
        <v/>
      </c>
      <c r="I58" s="17"/>
    </row>
    <row r="59" customFormat="false" ht="15" hidden="false" customHeight="false" outlineLevel="0" collapsed="false">
      <c r="A59" s="21"/>
      <c r="B59" s="17"/>
      <c r="C59" s="17"/>
      <c r="D59" s="12"/>
      <c r="E59" s="17"/>
      <c r="F59" s="12"/>
      <c r="G59" s="12"/>
      <c r="H59" s="22" t="str">
        <f aca="false">IF(A59="","",A59+7)</f>
        <v/>
      </c>
      <c r="I59" s="17"/>
    </row>
    <row r="60" customFormat="false" ht="15" hidden="false" customHeight="false" outlineLevel="0" collapsed="false">
      <c r="A60" s="21"/>
      <c r="B60" s="17"/>
      <c r="C60" s="17"/>
      <c r="D60" s="12"/>
      <c r="E60" s="17"/>
      <c r="F60" s="12"/>
      <c r="G60" s="12"/>
      <c r="H60" s="22" t="str">
        <f aca="false">IF(A60="","",A60+7)</f>
        <v/>
      </c>
      <c r="I60" s="17"/>
    </row>
    <row r="61" customFormat="false" ht="15" hidden="false" customHeight="false" outlineLevel="0" collapsed="false">
      <c r="A61" s="21"/>
      <c r="B61" s="17"/>
      <c r="C61" s="17"/>
      <c r="D61" s="12"/>
      <c r="E61" s="17"/>
      <c r="F61" s="12"/>
      <c r="G61" s="12"/>
      <c r="H61" s="22" t="str">
        <f aca="false">IF(A61="","",A61+7)</f>
        <v/>
      </c>
      <c r="I61" s="17"/>
    </row>
    <row r="62" customFormat="false" ht="15" hidden="false" customHeight="false" outlineLevel="0" collapsed="false">
      <c r="A62" s="21"/>
      <c r="B62" s="17"/>
      <c r="C62" s="17"/>
      <c r="D62" s="12"/>
      <c r="E62" s="17"/>
      <c r="F62" s="12"/>
      <c r="G62" s="12"/>
      <c r="H62" s="22" t="str">
        <f aca="false">IF(A62="","",A62+7)</f>
        <v/>
      </c>
      <c r="I62" s="17"/>
    </row>
    <row r="63" customFormat="false" ht="15" hidden="false" customHeight="false" outlineLevel="0" collapsed="false">
      <c r="A63" s="21"/>
      <c r="B63" s="17"/>
      <c r="C63" s="17"/>
      <c r="D63" s="12"/>
      <c r="E63" s="17"/>
      <c r="F63" s="12"/>
      <c r="G63" s="12"/>
      <c r="H63" s="22" t="str">
        <f aca="false">IF(A63="","",A63+7)</f>
        <v/>
      </c>
      <c r="I63" s="17"/>
    </row>
    <row r="64" customFormat="false" ht="15" hidden="false" customHeight="false" outlineLevel="0" collapsed="false">
      <c r="A64" s="21"/>
      <c r="B64" s="17"/>
      <c r="C64" s="17"/>
      <c r="D64" s="12"/>
      <c r="E64" s="17"/>
      <c r="F64" s="12"/>
      <c r="G64" s="12"/>
      <c r="H64" s="22" t="str">
        <f aca="false">IF(A64="","",A64+7)</f>
        <v/>
      </c>
      <c r="I64" s="17"/>
    </row>
    <row r="65" customFormat="false" ht="15" hidden="false" customHeight="false" outlineLevel="0" collapsed="false">
      <c r="A65" s="21"/>
      <c r="B65" s="17"/>
      <c r="C65" s="17"/>
      <c r="D65" s="12"/>
      <c r="E65" s="17"/>
      <c r="F65" s="12"/>
      <c r="G65" s="12"/>
      <c r="H65" s="22" t="str">
        <f aca="false">IF(A65="","",A65+7)</f>
        <v/>
      </c>
      <c r="I65" s="17"/>
    </row>
    <row r="66" customFormat="false" ht="15" hidden="false" customHeight="false" outlineLevel="0" collapsed="false">
      <c r="A66" s="21"/>
      <c r="B66" s="17"/>
      <c r="C66" s="17"/>
      <c r="D66" s="12"/>
      <c r="E66" s="17"/>
      <c r="F66" s="12"/>
      <c r="G66" s="12"/>
      <c r="H66" s="22" t="str">
        <f aca="false">IF(A66="","",A66+7)</f>
        <v/>
      </c>
      <c r="I66" s="17"/>
    </row>
    <row r="67" customFormat="false" ht="15" hidden="false" customHeight="false" outlineLevel="0" collapsed="false">
      <c r="A67" s="21"/>
      <c r="B67" s="17"/>
      <c r="C67" s="17"/>
      <c r="D67" s="12"/>
      <c r="E67" s="17"/>
      <c r="F67" s="12"/>
      <c r="G67" s="12"/>
      <c r="H67" s="22" t="str">
        <f aca="false">IF(A67="","",A67+7)</f>
        <v/>
      </c>
      <c r="I67" s="17"/>
    </row>
    <row r="68" customFormat="false" ht="15" hidden="false" customHeight="false" outlineLevel="0" collapsed="false">
      <c r="A68" s="21"/>
      <c r="B68" s="17"/>
      <c r="C68" s="17"/>
      <c r="D68" s="12"/>
      <c r="E68" s="17"/>
      <c r="F68" s="12"/>
      <c r="G68" s="12"/>
      <c r="H68" s="22" t="str">
        <f aca="false">IF(A68="","",A68+7)</f>
        <v/>
      </c>
      <c r="I68" s="17"/>
    </row>
    <row r="69" customFormat="false" ht="15" hidden="false" customHeight="false" outlineLevel="0" collapsed="false">
      <c r="A69" s="21"/>
      <c r="B69" s="17"/>
      <c r="C69" s="17"/>
      <c r="D69" s="12"/>
      <c r="E69" s="17"/>
      <c r="F69" s="12"/>
      <c r="G69" s="12"/>
      <c r="H69" s="22" t="str">
        <f aca="false">IF(A69="","",A69+7)</f>
        <v/>
      </c>
      <c r="I69" s="17"/>
    </row>
    <row r="70" customFormat="false" ht="15" hidden="false" customHeight="false" outlineLevel="0" collapsed="false">
      <c r="A70" s="21"/>
      <c r="B70" s="17"/>
      <c r="C70" s="17"/>
      <c r="D70" s="12"/>
      <c r="E70" s="17"/>
      <c r="F70" s="12"/>
      <c r="G70" s="12"/>
      <c r="H70" s="22" t="str">
        <f aca="false">IF(A70="","",A70+7)</f>
        <v/>
      </c>
      <c r="I70" s="17"/>
    </row>
    <row r="71" customFormat="false" ht="15" hidden="false" customHeight="false" outlineLevel="0" collapsed="false">
      <c r="A71" s="21"/>
      <c r="B71" s="17"/>
      <c r="C71" s="17"/>
      <c r="D71" s="12"/>
      <c r="E71" s="17"/>
      <c r="F71" s="12"/>
      <c r="G71" s="12"/>
      <c r="H71" s="22" t="str">
        <f aca="false">IF(A71="","",A71+7)</f>
        <v/>
      </c>
      <c r="I71" s="17"/>
    </row>
    <row r="72" customFormat="false" ht="15" hidden="false" customHeight="false" outlineLevel="0" collapsed="false">
      <c r="A72" s="21"/>
      <c r="B72" s="17"/>
      <c r="C72" s="17"/>
      <c r="D72" s="12"/>
      <c r="E72" s="17"/>
      <c r="F72" s="12"/>
      <c r="G72" s="12"/>
      <c r="H72" s="22" t="str">
        <f aca="false">IF(A72="","",A72+7)</f>
        <v/>
      </c>
      <c r="I72" s="17"/>
    </row>
    <row r="73" customFormat="false" ht="15" hidden="false" customHeight="false" outlineLevel="0" collapsed="false">
      <c r="A73" s="21"/>
      <c r="B73" s="17"/>
      <c r="C73" s="17"/>
      <c r="D73" s="12"/>
      <c r="E73" s="17"/>
      <c r="F73" s="12"/>
      <c r="G73" s="12"/>
      <c r="H73" s="22" t="str">
        <f aca="false">IF(A73="","",A73+7)</f>
        <v/>
      </c>
      <c r="I73" s="17"/>
    </row>
    <row r="74" customFormat="false" ht="15" hidden="false" customHeight="false" outlineLevel="0" collapsed="false">
      <c r="A74" s="21"/>
      <c r="B74" s="17"/>
      <c r="C74" s="17"/>
      <c r="D74" s="12"/>
      <c r="E74" s="17"/>
      <c r="F74" s="12"/>
      <c r="G74" s="12"/>
      <c r="H74" s="22" t="str">
        <f aca="false">IF(A74="","",A74+7)</f>
        <v/>
      </c>
      <c r="I74" s="17"/>
    </row>
    <row r="75" customFormat="false" ht="15" hidden="false" customHeight="false" outlineLevel="0" collapsed="false">
      <c r="A75" s="21"/>
      <c r="B75" s="17"/>
      <c r="C75" s="17"/>
      <c r="D75" s="12"/>
      <c r="E75" s="17"/>
      <c r="F75" s="12"/>
      <c r="G75" s="12"/>
      <c r="H75" s="22" t="str">
        <f aca="false">IF(A75="","",A75+7)</f>
        <v/>
      </c>
      <c r="I75" s="17"/>
    </row>
    <row r="76" customFormat="false" ht="15" hidden="false" customHeight="false" outlineLevel="0" collapsed="false">
      <c r="A76" s="21"/>
      <c r="B76" s="17"/>
      <c r="C76" s="17"/>
      <c r="D76" s="12"/>
      <c r="E76" s="17"/>
      <c r="F76" s="12"/>
      <c r="G76" s="12"/>
      <c r="H76" s="22" t="str">
        <f aca="false">IF(A76="","",A76+7)</f>
        <v/>
      </c>
      <c r="I76" s="17"/>
    </row>
    <row r="77" customFormat="false" ht="15" hidden="false" customHeight="false" outlineLevel="0" collapsed="false">
      <c r="A77" s="21"/>
      <c r="B77" s="17"/>
      <c r="C77" s="17"/>
      <c r="D77" s="12"/>
      <c r="E77" s="17"/>
      <c r="F77" s="12"/>
      <c r="G77" s="12"/>
      <c r="H77" s="22" t="str">
        <f aca="false">IF(A77="","",A77+7)</f>
        <v/>
      </c>
      <c r="I77" s="17"/>
    </row>
    <row r="78" customFormat="false" ht="15" hidden="false" customHeight="false" outlineLevel="0" collapsed="false">
      <c r="A78" s="21"/>
      <c r="B78" s="17"/>
      <c r="C78" s="17"/>
      <c r="D78" s="12"/>
      <c r="E78" s="17"/>
      <c r="F78" s="12"/>
      <c r="G78" s="12"/>
      <c r="H78" s="22" t="str">
        <f aca="false">IF(A78="","",A78+7)</f>
        <v/>
      </c>
      <c r="I78" s="17"/>
    </row>
    <row r="79" customFormat="false" ht="15" hidden="false" customHeight="false" outlineLevel="0" collapsed="false">
      <c r="A79" s="21"/>
      <c r="B79" s="17"/>
      <c r="C79" s="17"/>
      <c r="D79" s="12"/>
      <c r="E79" s="17"/>
      <c r="F79" s="12"/>
      <c r="G79" s="12"/>
      <c r="H79" s="22" t="str">
        <f aca="false">IF(A79="","",A79+7)</f>
        <v/>
      </c>
      <c r="I79" s="17"/>
    </row>
    <row r="80" customFormat="false" ht="15" hidden="false" customHeight="false" outlineLevel="0" collapsed="false">
      <c r="A80" s="21"/>
      <c r="B80" s="17"/>
      <c r="C80" s="17"/>
      <c r="D80" s="12"/>
      <c r="E80" s="17"/>
      <c r="F80" s="12"/>
      <c r="G80" s="12"/>
      <c r="H80" s="22" t="str">
        <f aca="false">IF(A80="","",A80+7)</f>
        <v/>
      </c>
      <c r="I80" s="17"/>
    </row>
    <row r="81" customFormat="false" ht="15" hidden="false" customHeight="false" outlineLevel="0" collapsed="false">
      <c r="A81" s="21"/>
      <c r="B81" s="17"/>
      <c r="C81" s="17"/>
      <c r="D81" s="12"/>
      <c r="E81" s="17"/>
      <c r="F81" s="12"/>
      <c r="G81" s="12"/>
      <c r="H81" s="22" t="str">
        <f aca="false">IF(A81="","",A81+7)</f>
        <v/>
      </c>
      <c r="I81" s="17"/>
    </row>
    <row r="82" customFormat="false" ht="15" hidden="false" customHeight="false" outlineLevel="0" collapsed="false">
      <c r="A82" s="21"/>
      <c r="B82" s="17"/>
      <c r="C82" s="17"/>
      <c r="D82" s="12"/>
      <c r="E82" s="17"/>
      <c r="F82" s="12"/>
      <c r="G82" s="12"/>
      <c r="H82" s="22" t="str">
        <f aca="false">IF(A82="","",A82+7)</f>
        <v/>
      </c>
      <c r="I82" s="17"/>
    </row>
    <row r="83" customFormat="false" ht="15" hidden="false" customHeight="false" outlineLevel="0" collapsed="false">
      <c r="A83" s="21"/>
      <c r="B83" s="17"/>
      <c r="C83" s="17"/>
      <c r="D83" s="12"/>
      <c r="E83" s="17"/>
      <c r="F83" s="12"/>
      <c r="G83" s="12"/>
      <c r="H83" s="22" t="str">
        <f aca="false">IF(A83="","",A83+7)</f>
        <v/>
      </c>
      <c r="I83" s="17"/>
    </row>
    <row r="84" customFormat="false" ht="15" hidden="false" customHeight="false" outlineLevel="0" collapsed="false">
      <c r="A84" s="21"/>
      <c r="B84" s="17"/>
      <c r="C84" s="17"/>
      <c r="D84" s="12"/>
      <c r="E84" s="17"/>
      <c r="F84" s="12"/>
      <c r="G84" s="12"/>
      <c r="H84" s="22" t="str">
        <f aca="false">IF(A84="","",A84+7)</f>
        <v/>
      </c>
      <c r="I84" s="17"/>
    </row>
    <row r="85" customFormat="false" ht="15" hidden="false" customHeight="false" outlineLevel="0" collapsed="false">
      <c r="A85" s="21"/>
      <c r="B85" s="17"/>
      <c r="C85" s="17"/>
      <c r="D85" s="12"/>
      <c r="E85" s="17"/>
      <c r="F85" s="12"/>
      <c r="G85" s="12"/>
      <c r="H85" s="22" t="str">
        <f aca="false">IF(A85="","",A85+7)</f>
        <v/>
      </c>
      <c r="I85" s="17"/>
    </row>
    <row r="86" customFormat="false" ht="15" hidden="false" customHeight="false" outlineLevel="0" collapsed="false">
      <c r="A86" s="21"/>
      <c r="B86" s="17"/>
      <c r="C86" s="17"/>
      <c r="D86" s="12"/>
      <c r="E86" s="17"/>
      <c r="F86" s="12"/>
      <c r="G86" s="12"/>
      <c r="H86" s="22" t="str">
        <f aca="false">IF(A86="","",A86+7)</f>
        <v/>
      </c>
      <c r="I86" s="17"/>
    </row>
    <row r="87" customFormat="false" ht="15" hidden="false" customHeight="false" outlineLevel="0" collapsed="false">
      <c r="A87" s="21"/>
      <c r="B87" s="17"/>
      <c r="C87" s="17"/>
      <c r="D87" s="12"/>
      <c r="E87" s="17"/>
      <c r="F87" s="12"/>
      <c r="G87" s="12"/>
      <c r="H87" s="22" t="str">
        <f aca="false">IF(A87="","",A87+7)</f>
        <v/>
      </c>
      <c r="I87" s="17"/>
    </row>
    <row r="88" customFormat="false" ht="15" hidden="false" customHeight="false" outlineLevel="0" collapsed="false">
      <c r="A88" s="21"/>
      <c r="B88" s="17"/>
      <c r="C88" s="17"/>
      <c r="D88" s="12"/>
      <c r="E88" s="17"/>
      <c r="F88" s="12"/>
      <c r="G88" s="12"/>
      <c r="H88" s="22" t="str">
        <f aca="false">IF(A88="","",A88+7)</f>
        <v/>
      </c>
      <c r="I88" s="17"/>
    </row>
    <row r="89" customFormat="false" ht="15" hidden="false" customHeight="false" outlineLevel="0" collapsed="false">
      <c r="A89" s="21"/>
      <c r="B89" s="17"/>
      <c r="C89" s="17"/>
      <c r="D89" s="12"/>
      <c r="E89" s="17"/>
      <c r="F89" s="12"/>
      <c r="G89" s="12"/>
      <c r="H89" s="22" t="str">
        <f aca="false">IF(A89="","",A89+7)</f>
        <v/>
      </c>
      <c r="I89" s="17"/>
    </row>
    <row r="90" customFormat="false" ht="15" hidden="false" customHeight="false" outlineLevel="0" collapsed="false">
      <c r="A90" s="21"/>
      <c r="B90" s="17"/>
      <c r="C90" s="17"/>
      <c r="D90" s="12"/>
      <c r="E90" s="17"/>
      <c r="F90" s="12"/>
      <c r="G90" s="12"/>
      <c r="H90" s="22" t="str">
        <f aca="false">IF(A90="","",A90+7)</f>
        <v/>
      </c>
      <c r="I90" s="17"/>
    </row>
    <row r="91" customFormat="false" ht="15" hidden="false" customHeight="false" outlineLevel="0" collapsed="false">
      <c r="A91" s="21"/>
      <c r="B91" s="17"/>
      <c r="C91" s="17"/>
      <c r="D91" s="12"/>
      <c r="E91" s="17"/>
      <c r="F91" s="12"/>
      <c r="G91" s="12"/>
      <c r="H91" s="22" t="str">
        <f aca="false">IF(A91="","",A91+7)</f>
        <v/>
      </c>
      <c r="I91" s="17"/>
    </row>
    <row r="92" customFormat="false" ht="15" hidden="false" customHeight="false" outlineLevel="0" collapsed="false">
      <c r="A92" s="21"/>
      <c r="B92" s="17"/>
      <c r="C92" s="17"/>
      <c r="D92" s="12"/>
      <c r="E92" s="17"/>
      <c r="F92" s="12"/>
      <c r="G92" s="12"/>
      <c r="H92" s="22" t="str">
        <f aca="false">IF(A92="","",A92+7)</f>
        <v/>
      </c>
      <c r="I92" s="17"/>
    </row>
    <row r="93" customFormat="false" ht="15" hidden="false" customHeight="false" outlineLevel="0" collapsed="false">
      <c r="A93" s="21"/>
      <c r="B93" s="17"/>
      <c r="C93" s="17"/>
      <c r="D93" s="12"/>
      <c r="E93" s="17"/>
      <c r="F93" s="12"/>
      <c r="G93" s="12"/>
      <c r="H93" s="22" t="str">
        <f aca="false">IF(A93="","",A93+7)</f>
        <v/>
      </c>
      <c r="I93" s="17"/>
    </row>
    <row r="94" customFormat="false" ht="15" hidden="false" customHeight="false" outlineLevel="0" collapsed="false">
      <c r="A94" s="21"/>
      <c r="B94" s="17"/>
      <c r="C94" s="17"/>
      <c r="D94" s="12"/>
      <c r="E94" s="17"/>
      <c r="F94" s="12"/>
      <c r="G94" s="12"/>
      <c r="H94" s="22" t="str">
        <f aca="false">IF(A94="","",A94+7)</f>
        <v/>
      </c>
      <c r="I94" s="17"/>
    </row>
    <row r="95" customFormat="false" ht="15" hidden="false" customHeight="false" outlineLevel="0" collapsed="false">
      <c r="A95" s="21"/>
      <c r="B95" s="17"/>
      <c r="C95" s="17"/>
      <c r="D95" s="12"/>
      <c r="E95" s="17"/>
      <c r="F95" s="12"/>
      <c r="G95" s="12"/>
      <c r="H95" s="22" t="str">
        <f aca="false">IF(A95="","",A95+7)</f>
        <v/>
      </c>
      <c r="I95" s="17"/>
    </row>
    <row r="96" customFormat="false" ht="15" hidden="false" customHeight="false" outlineLevel="0" collapsed="false">
      <c r="A96" s="21"/>
      <c r="B96" s="17"/>
      <c r="C96" s="17"/>
      <c r="D96" s="12"/>
      <c r="E96" s="17"/>
      <c r="F96" s="12"/>
      <c r="G96" s="12"/>
      <c r="H96" s="22" t="str">
        <f aca="false">IF(A96="","",A96+7)</f>
        <v/>
      </c>
      <c r="I96" s="17"/>
    </row>
    <row r="97" customFormat="false" ht="15" hidden="false" customHeight="false" outlineLevel="0" collapsed="false">
      <c r="A97" s="21"/>
      <c r="B97" s="17"/>
      <c r="C97" s="17"/>
      <c r="D97" s="12"/>
      <c r="E97" s="17"/>
      <c r="F97" s="12"/>
      <c r="G97" s="12"/>
      <c r="H97" s="22" t="str">
        <f aca="false">IF(A97="","",A97+7)</f>
        <v/>
      </c>
      <c r="I97" s="17"/>
    </row>
    <row r="98" customFormat="false" ht="15" hidden="false" customHeight="false" outlineLevel="0" collapsed="false">
      <c r="A98" s="21"/>
      <c r="B98" s="17"/>
      <c r="C98" s="17"/>
      <c r="D98" s="12"/>
      <c r="E98" s="17"/>
      <c r="F98" s="12"/>
      <c r="G98" s="12"/>
      <c r="H98" s="22" t="str">
        <f aca="false">IF(A98="","",A98+7)</f>
        <v/>
      </c>
      <c r="I98" s="17"/>
    </row>
    <row r="99" customFormat="false" ht="15" hidden="false" customHeight="false" outlineLevel="0" collapsed="false">
      <c r="A99" s="21"/>
      <c r="B99" s="17"/>
      <c r="C99" s="17"/>
      <c r="D99" s="12"/>
      <c r="E99" s="17"/>
      <c r="F99" s="12"/>
      <c r="G99" s="12"/>
      <c r="H99" s="22" t="str">
        <f aca="false">IF(A99="","",A99+7)</f>
        <v/>
      </c>
      <c r="I99" s="17"/>
    </row>
    <row r="100" customFormat="false" ht="15" hidden="false" customHeight="false" outlineLevel="0" collapsed="false">
      <c r="A100" s="21"/>
      <c r="B100" s="17"/>
      <c r="C100" s="17"/>
      <c r="D100" s="12"/>
      <c r="E100" s="17"/>
      <c r="F100" s="12"/>
      <c r="G100" s="12"/>
      <c r="H100" s="22" t="str">
        <f aca="false">IF(A100="","",A100+7)</f>
        <v/>
      </c>
      <c r="I100" s="17"/>
    </row>
    <row r="101" customFormat="false" ht="15" hidden="false" customHeight="false" outlineLevel="0" collapsed="false">
      <c r="A101" s="21"/>
      <c r="B101" s="17"/>
      <c r="C101" s="17"/>
      <c r="D101" s="12"/>
      <c r="E101" s="17"/>
      <c r="F101" s="12"/>
      <c r="G101" s="12"/>
      <c r="H101" s="22" t="str">
        <f aca="false">IF(A101="","",A101+7)</f>
        <v/>
      </c>
      <c r="I101" s="17"/>
    </row>
    <row r="102" customFormat="false" ht="15" hidden="false" customHeight="false" outlineLevel="0" collapsed="false">
      <c r="A102" s="21"/>
      <c r="B102" s="17"/>
      <c r="C102" s="17"/>
      <c r="D102" s="12"/>
      <c r="E102" s="17"/>
      <c r="F102" s="12"/>
      <c r="G102" s="12"/>
      <c r="H102" s="22" t="str">
        <f aca="false">IF(A102="","",A102+7)</f>
        <v/>
      </c>
      <c r="I102" s="17"/>
    </row>
    <row r="103" customFormat="false" ht="15" hidden="false" customHeight="false" outlineLevel="0" collapsed="false">
      <c r="A103" s="21"/>
      <c r="B103" s="17"/>
      <c r="C103" s="17"/>
      <c r="D103" s="12"/>
      <c r="E103" s="17"/>
      <c r="F103" s="12"/>
      <c r="G103" s="12"/>
      <c r="H103" s="22" t="str">
        <f aca="false">IF(A103="","",A103+7)</f>
        <v/>
      </c>
      <c r="I103" s="17"/>
    </row>
    <row r="104" customFormat="false" ht="15" hidden="false" customHeight="false" outlineLevel="0" collapsed="false">
      <c r="A104" s="21"/>
      <c r="B104" s="17"/>
      <c r="C104" s="17"/>
      <c r="D104" s="12"/>
      <c r="E104" s="17"/>
      <c r="F104" s="12"/>
      <c r="G104" s="12"/>
      <c r="H104" s="22" t="str">
        <f aca="false">IF(A104="","",A104+7)</f>
        <v/>
      </c>
      <c r="I104" s="17"/>
    </row>
    <row r="105" customFormat="false" ht="15" hidden="false" customHeight="false" outlineLevel="0" collapsed="false">
      <c r="A105" s="21"/>
      <c r="B105" s="17"/>
      <c r="C105" s="17"/>
      <c r="D105" s="12"/>
      <c r="E105" s="17"/>
      <c r="F105" s="12"/>
      <c r="G105" s="12"/>
      <c r="H105" s="22" t="str">
        <f aca="false">IF(A105="","",A105+7)</f>
        <v/>
      </c>
      <c r="I105" s="17"/>
    </row>
    <row r="106" customFormat="false" ht="15" hidden="false" customHeight="false" outlineLevel="0" collapsed="false">
      <c r="A106" s="21"/>
      <c r="B106" s="17"/>
      <c r="C106" s="17"/>
      <c r="D106" s="12"/>
      <c r="E106" s="17"/>
      <c r="F106" s="12"/>
      <c r="G106" s="12"/>
      <c r="H106" s="22" t="str">
        <f aca="false">IF(A106="","",A106+7)</f>
        <v/>
      </c>
      <c r="I106" s="17"/>
    </row>
    <row r="107" customFormat="false" ht="15" hidden="false" customHeight="false" outlineLevel="0" collapsed="false">
      <c r="A107" s="21"/>
      <c r="B107" s="17"/>
      <c r="C107" s="17"/>
      <c r="D107" s="12"/>
      <c r="E107" s="17"/>
      <c r="F107" s="12"/>
      <c r="G107" s="12"/>
      <c r="H107" s="22" t="str">
        <f aca="false">IF(A107="","",A107+7)</f>
        <v/>
      </c>
      <c r="I107" s="17"/>
    </row>
    <row r="108" customFormat="false" ht="15" hidden="false" customHeight="false" outlineLevel="0" collapsed="false">
      <c r="A108" s="21"/>
      <c r="B108" s="17"/>
      <c r="C108" s="17"/>
      <c r="D108" s="12"/>
      <c r="E108" s="17"/>
      <c r="F108" s="12"/>
      <c r="G108" s="12"/>
      <c r="H108" s="22" t="str">
        <f aca="false">IF(A108="","",A108+7)</f>
        <v/>
      </c>
      <c r="I108" s="17"/>
    </row>
    <row r="109" customFormat="false" ht="15" hidden="false" customHeight="false" outlineLevel="0" collapsed="false">
      <c r="A109" s="21"/>
      <c r="B109" s="17"/>
      <c r="C109" s="17"/>
      <c r="D109" s="12"/>
      <c r="E109" s="17"/>
      <c r="F109" s="12"/>
      <c r="G109" s="12"/>
      <c r="H109" s="22" t="str">
        <f aca="false">IF(A109="","",A109+7)</f>
        <v/>
      </c>
      <c r="I109" s="17"/>
    </row>
    <row r="110" customFormat="false" ht="15" hidden="false" customHeight="false" outlineLevel="0" collapsed="false">
      <c r="A110" s="21"/>
      <c r="B110" s="17"/>
      <c r="C110" s="17"/>
      <c r="D110" s="12"/>
      <c r="E110" s="17"/>
      <c r="F110" s="12"/>
      <c r="G110" s="12"/>
      <c r="H110" s="22" t="str">
        <f aca="false">IF(A110="","",A110+7)</f>
        <v/>
      </c>
      <c r="I110" s="17"/>
    </row>
    <row r="111" customFormat="false" ht="15" hidden="false" customHeight="false" outlineLevel="0" collapsed="false">
      <c r="A111" s="21"/>
      <c r="B111" s="17"/>
      <c r="C111" s="17"/>
      <c r="D111" s="12"/>
      <c r="E111" s="17"/>
      <c r="F111" s="12"/>
      <c r="G111" s="12"/>
      <c r="H111" s="22" t="str">
        <f aca="false">IF(A111="","",A111+7)</f>
        <v/>
      </c>
      <c r="I111" s="17"/>
    </row>
    <row r="112" customFormat="false" ht="15" hidden="false" customHeight="false" outlineLevel="0" collapsed="false">
      <c r="A112" s="21"/>
      <c r="B112" s="17"/>
      <c r="C112" s="17"/>
      <c r="D112" s="12"/>
      <c r="E112" s="17"/>
      <c r="F112" s="12"/>
      <c r="G112" s="12"/>
      <c r="H112" s="22" t="str">
        <f aca="false">IF(A112="","",A112+7)</f>
        <v/>
      </c>
      <c r="I112" s="17"/>
    </row>
    <row r="113" customFormat="false" ht="15" hidden="false" customHeight="false" outlineLevel="0" collapsed="false">
      <c r="A113" s="21"/>
      <c r="B113" s="17"/>
      <c r="C113" s="17"/>
      <c r="D113" s="12"/>
      <c r="E113" s="17"/>
      <c r="F113" s="12"/>
      <c r="G113" s="12"/>
      <c r="H113" s="22" t="str">
        <f aca="false">IF(A113="","",A113+7)</f>
        <v/>
      </c>
      <c r="I113" s="17"/>
    </row>
    <row r="114" customFormat="false" ht="15" hidden="false" customHeight="false" outlineLevel="0" collapsed="false">
      <c r="A114" s="21"/>
      <c r="B114" s="17"/>
      <c r="C114" s="17"/>
      <c r="D114" s="12"/>
      <c r="E114" s="17"/>
      <c r="F114" s="12"/>
      <c r="G114" s="12"/>
      <c r="H114" s="22" t="str">
        <f aca="false">IF(A114="","",A114+7)</f>
        <v/>
      </c>
      <c r="I114" s="17"/>
    </row>
    <row r="115" customFormat="false" ht="15" hidden="false" customHeight="false" outlineLevel="0" collapsed="false">
      <c r="A115" s="21"/>
      <c r="B115" s="17"/>
      <c r="C115" s="17"/>
      <c r="D115" s="12"/>
      <c r="E115" s="17"/>
      <c r="F115" s="12"/>
      <c r="G115" s="12"/>
      <c r="H115" s="22" t="str">
        <f aca="false">IF(A115="","",A115+7)</f>
        <v/>
      </c>
      <c r="I115" s="17"/>
    </row>
    <row r="116" customFormat="false" ht="15" hidden="false" customHeight="false" outlineLevel="0" collapsed="false">
      <c r="A116" s="21"/>
      <c r="B116" s="17"/>
      <c r="C116" s="17"/>
      <c r="D116" s="12"/>
      <c r="E116" s="17"/>
      <c r="F116" s="12"/>
      <c r="G116" s="12"/>
      <c r="H116" s="22" t="str">
        <f aca="false">IF(A116="","",A116+7)</f>
        <v/>
      </c>
      <c r="I116" s="17"/>
    </row>
    <row r="117" customFormat="false" ht="15" hidden="false" customHeight="false" outlineLevel="0" collapsed="false">
      <c r="A117" s="21"/>
      <c r="B117" s="17"/>
      <c r="C117" s="17"/>
      <c r="D117" s="12"/>
      <c r="E117" s="17"/>
      <c r="F117" s="12"/>
      <c r="G117" s="12"/>
      <c r="H117" s="22" t="str">
        <f aca="false">IF(A117="","",A117+7)</f>
        <v/>
      </c>
      <c r="I117" s="17"/>
    </row>
    <row r="118" customFormat="false" ht="15" hidden="false" customHeight="false" outlineLevel="0" collapsed="false">
      <c r="A118" s="21"/>
      <c r="B118" s="17"/>
      <c r="C118" s="17"/>
      <c r="D118" s="12"/>
      <c r="E118" s="17"/>
      <c r="F118" s="12"/>
      <c r="G118" s="12"/>
      <c r="H118" s="22" t="str">
        <f aca="false">IF(A118="","",A118+7)</f>
        <v/>
      </c>
      <c r="I118" s="17"/>
    </row>
    <row r="119" customFormat="false" ht="15" hidden="false" customHeight="false" outlineLevel="0" collapsed="false">
      <c r="A119" s="21"/>
      <c r="B119" s="17"/>
      <c r="C119" s="17"/>
      <c r="D119" s="12"/>
      <c r="E119" s="17"/>
      <c r="F119" s="12"/>
      <c r="G119" s="12"/>
      <c r="H119" s="22" t="str">
        <f aca="false">IF(A119="","",A119+7)</f>
        <v/>
      </c>
      <c r="I119" s="17"/>
    </row>
    <row r="120" customFormat="false" ht="15" hidden="false" customHeight="false" outlineLevel="0" collapsed="false">
      <c r="A120" s="21"/>
      <c r="B120" s="17"/>
      <c r="C120" s="17"/>
      <c r="D120" s="12"/>
      <c r="E120" s="17"/>
      <c r="F120" s="12"/>
      <c r="G120" s="12"/>
      <c r="H120" s="22" t="str">
        <f aca="false">IF(A120="","",A120+7)</f>
        <v/>
      </c>
      <c r="I120" s="17"/>
    </row>
    <row r="121" customFormat="false" ht="15" hidden="false" customHeight="false" outlineLevel="0" collapsed="false">
      <c r="A121" s="21"/>
      <c r="B121" s="17"/>
      <c r="C121" s="17"/>
      <c r="D121" s="12"/>
      <c r="E121" s="17"/>
      <c r="F121" s="12"/>
      <c r="G121" s="12"/>
      <c r="H121" s="22" t="str">
        <f aca="false">IF(A121="","",A121+7)</f>
        <v/>
      </c>
      <c r="I121" s="17"/>
    </row>
    <row r="122" customFormat="false" ht="15" hidden="false" customHeight="false" outlineLevel="0" collapsed="false">
      <c r="A122" s="21"/>
      <c r="B122" s="17"/>
      <c r="C122" s="17"/>
      <c r="D122" s="12"/>
      <c r="E122" s="17"/>
      <c r="F122" s="12"/>
      <c r="G122" s="12"/>
      <c r="H122" s="22" t="str">
        <f aca="false">IF(A122="","",A122+7)</f>
        <v/>
      </c>
      <c r="I122" s="17"/>
    </row>
    <row r="123" customFormat="false" ht="15" hidden="false" customHeight="false" outlineLevel="0" collapsed="false">
      <c r="A123" s="21"/>
      <c r="B123" s="17"/>
      <c r="C123" s="17"/>
      <c r="D123" s="12"/>
      <c r="E123" s="17"/>
      <c r="F123" s="12"/>
      <c r="G123" s="12"/>
      <c r="H123" s="22" t="str">
        <f aca="false">IF(A123="","",A123+7)</f>
        <v/>
      </c>
      <c r="I123" s="17"/>
    </row>
    <row r="124" customFormat="false" ht="15" hidden="false" customHeight="false" outlineLevel="0" collapsed="false">
      <c r="A124" s="21"/>
      <c r="B124" s="17"/>
      <c r="C124" s="17"/>
      <c r="D124" s="12"/>
      <c r="E124" s="17"/>
      <c r="F124" s="12"/>
      <c r="G124" s="12"/>
      <c r="H124" s="22" t="str">
        <f aca="false">IF(A124="","",A124+7)</f>
        <v/>
      </c>
      <c r="I124" s="17"/>
    </row>
    <row r="125" customFormat="false" ht="15" hidden="false" customHeight="false" outlineLevel="0" collapsed="false">
      <c r="A125" s="21"/>
      <c r="B125" s="17"/>
      <c r="C125" s="17"/>
      <c r="D125" s="12"/>
      <c r="E125" s="17"/>
      <c r="F125" s="12"/>
      <c r="G125" s="12"/>
      <c r="H125" s="22" t="str">
        <f aca="false">IF(A125="","",A125+7)</f>
        <v/>
      </c>
      <c r="I125" s="17"/>
    </row>
    <row r="126" customFormat="false" ht="15" hidden="false" customHeight="false" outlineLevel="0" collapsed="false">
      <c r="A126" s="21"/>
      <c r="B126" s="17"/>
      <c r="C126" s="17"/>
      <c r="D126" s="12"/>
      <c r="E126" s="17"/>
      <c r="F126" s="12"/>
      <c r="G126" s="12"/>
      <c r="H126" s="22" t="str">
        <f aca="false">IF(A126="","",A126+7)</f>
        <v/>
      </c>
      <c r="I126" s="17"/>
    </row>
    <row r="127" customFormat="false" ht="15" hidden="false" customHeight="false" outlineLevel="0" collapsed="false">
      <c r="A127" s="21"/>
      <c r="B127" s="17"/>
      <c r="C127" s="17"/>
      <c r="D127" s="12"/>
      <c r="E127" s="17"/>
      <c r="F127" s="12"/>
      <c r="G127" s="12"/>
      <c r="H127" s="22" t="str">
        <f aca="false">IF(A127="","",A127+7)</f>
        <v/>
      </c>
      <c r="I127" s="17"/>
    </row>
    <row r="128" customFormat="false" ht="15" hidden="false" customHeight="false" outlineLevel="0" collapsed="false">
      <c r="A128" s="21"/>
      <c r="B128" s="17"/>
      <c r="C128" s="17"/>
      <c r="D128" s="12"/>
      <c r="E128" s="17"/>
      <c r="F128" s="12"/>
      <c r="G128" s="12"/>
      <c r="H128" s="22" t="str">
        <f aca="false">IF(A128="","",A128+7)</f>
        <v/>
      </c>
      <c r="I128" s="17"/>
    </row>
    <row r="129" customFormat="false" ht="15" hidden="false" customHeight="false" outlineLevel="0" collapsed="false">
      <c r="A129" s="21"/>
      <c r="B129" s="17"/>
      <c r="C129" s="17"/>
      <c r="D129" s="12"/>
      <c r="E129" s="17"/>
      <c r="F129" s="12"/>
      <c r="G129" s="12"/>
      <c r="H129" s="22" t="str">
        <f aca="false">IF(A129="","",A129+7)</f>
        <v/>
      </c>
      <c r="I129" s="17"/>
    </row>
    <row r="130" customFormat="false" ht="15" hidden="false" customHeight="false" outlineLevel="0" collapsed="false">
      <c r="A130" s="21"/>
      <c r="B130" s="17"/>
      <c r="C130" s="17"/>
      <c r="D130" s="12"/>
      <c r="E130" s="17"/>
      <c r="F130" s="12"/>
      <c r="G130" s="12"/>
      <c r="H130" s="22" t="str">
        <f aca="false">IF(A130="","",A130+7)</f>
        <v/>
      </c>
      <c r="I130" s="17"/>
    </row>
    <row r="131" customFormat="false" ht="15" hidden="false" customHeight="false" outlineLevel="0" collapsed="false">
      <c r="A131" s="21"/>
      <c r="B131" s="17"/>
      <c r="C131" s="17"/>
      <c r="D131" s="12"/>
      <c r="E131" s="17"/>
      <c r="F131" s="12"/>
      <c r="G131" s="12"/>
      <c r="H131" s="22" t="str">
        <f aca="false">IF(A131="","",A131+7)</f>
        <v/>
      </c>
      <c r="I131" s="17"/>
    </row>
    <row r="132" customFormat="false" ht="15" hidden="false" customHeight="false" outlineLevel="0" collapsed="false">
      <c r="A132" s="21"/>
      <c r="B132" s="17"/>
      <c r="C132" s="17"/>
      <c r="D132" s="12"/>
      <c r="E132" s="17"/>
      <c r="F132" s="12"/>
      <c r="G132" s="12"/>
      <c r="H132" s="22" t="str">
        <f aca="false">IF(A132="","",A132+7)</f>
        <v/>
      </c>
      <c r="I132" s="17"/>
    </row>
    <row r="133" customFormat="false" ht="15" hidden="false" customHeight="false" outlineLevel="0" collapsed="false">
      <c r="A133" s="21"/>
      <c r="B133" s="17"/>
      <c r="C133" s="17"/>
      <c r="D133" s="12"/>
      <c r="E133" s="17"/>
      <c r="F133" s="12"/>
      <c r="G133" s="12"/>
      <c r="H133" s="22" t="str">
        <f aca="false">IF(A133="","",A133+7)</f>
        <v/>
      </c>
      <c r="I133" s="17"/>
    </row>
    <row r="134" customFormat="false" ht="15" hidden="false" customHeight="false" outlineLevel="0" collapsed="false">
      <c r="A134" s="21"/>
      <c r="B134" s="17"/>
      <c r="C134" s="17"/>
      <c r="D134" s="12"/>
      <c r="E134" s="17"/>
      <c r="F134" s="12"/>
      <c r="G134" s="12"/>
      <c r="H134" s="22" t="str">
        <f aca="false">IF(A134="","",A134+7)</f>
        <v/>
      </c>
      <c r="I134" s="17"/>
    </row>
    <row r="135" customFormat="false" ht="15" hidden="false" customHeight="false" outlineLevel="0" collapsed="false">
      <c r="A135" s="21"/>
      <c r="B135" s="17"/>
      <c r="C135" s="17"/>
      <c r="D135" s="12"/>
      <c r="E135" s="17"/>
      <c r="F135" s="12"/>
      <c r="G135" s="12"/>
      <c r="H135" s="22" t="str">
        <f aca="false">IF(A135="","",A135+7)</f>
        <v/>
      </c>
      <c r="I135" s="17"/>
    </row>
    <row r="136" customFormat="false" ht="15" hidden="false" customHeight="false" outlineLevel="0" collapsed="false">
      <c r="A136" s="21"/>
      <c r="B136" s="17"/>
      <c r="C136" s="17"/>
      <c r="D136" s="12"/>
      <c r="E136" s="17"/>
      <c r="F136" s="12"/>
      <c r="G136" s="12"/>
      <c r="H136" s="22" t="str">
        <f aca="false">IF(A136="","",A136+7)</f>
        <v/>
      </c>
      <c r="I136" s="17"/>
    </row>
    <row r="137" customFormat="false" ht="15" hidden="false" customHeight="false" outlineLevel="0" collapsed="false">
      <c r="A137" s="21"/>
      <c r="B137" s="17"/>
      <c r="C137" s="17"/>
      <c r="D137" s="12"/>
      <c r="E137" s="17"/>
      <c r="F137" s="12"/>
      <c r="G137" s="12"/>
      <c r="H137" s="22" t="str">
        <f aca="false">IF(A137="","",A137+7)</f>
        <v/>
      </c>
      <c r="I137" s="17"/>
    </row>
    <row r="138" customFormat="false" ht="15" hidden="false" customHeight="false" outlineLevel="0" collapsed="false">
      <c r="A138" s="21"/>
      <c r="B138" s="17"/>
      <c r="C138" s="17"/>
      <c r="D138" s="12"/>
      <c r="E138" s="17"/>
      <c r="F138" s="12"/>
      <c r="G138" s="12"/>
      <c r="H138" s="22" t="str">
        <f aca="false">IF(A138="","",A138+7)</f>
        <v/>
      </c>
      <c r="I138" s="17"/>
    </row>
    <row r="139" customFormat="false" ht="15" hidden="false" customHeight="false" outlineLevel="0" collapsed="false">
      <c r="A139" s="21"/>
      <c r="B139" s="17"/>
      <c r="C139" s="17"/>
      <c r="D139" s="12"/>
      <c r="E139" s="17"/>
      <c r="F139" s="12"/>
      <c r="G139" s="12"/>
      <c r="H139" s="22" t="str">
        <f aca="false">IF(A139="","",A139+7)</f>
        <v/>
      </c>
      <c r="I139" s="17"/>
    </row>
    <row r="140" customFormat="false" ht="15" hidden="false" customHeight="false" outlineLevel="0" collapsed="false">
      <c r="A140" s="21"/>
      <c r="B140" s="17"/>
      <c r="C140" s="17"/>
      <c r="D140" s="12"/>
      <c r="E140" s="17"/>
      <c r="F140" s="12"/>
      <c r="G140" s="12"/>
      <c r="H140" s="22" t="str">
        <f aca="false">IF(A140="","",A140+7)</f>
        <v/>
      </c>
      <c r="I140" s="17"/>
    </row>
    <row r="141" customFormat="false" ht="15" hidden="false" customHeight="false" outlineLevel="0" collapsed="false">
      <c r="A141" s="21"/>
      <c r="B141" s="17"/>
      <c r="C141" s="17"/>
      <c r="D141" s="12"/>
      <c r="E141" s="17"/>
      <c r="F141" s="12"/>
      <c r="G141" s="12"/>
      <c r="H141" s="22" t="str">
        <f aca="false">IF(A141="","",A141+7)</f>
        <v/>
      </c>
      <c r="I141" s="17"/>
    </row>
    <row r="142" customFormat="false" ht="15" hidden="false" customHeight="false" outlineLevel="0" collapsed="false">
      <c r="A142" s="21"/>
      <c r="B142" s="17"/>
      <c r="C142" s="17"/>
      <c r="D142" s="12"/>
      <c r="E142" s="17"/>
      <c r="F142" s="12"/>
      <c r="G142" s="12"/>
      <c r="H142" s="22" t="str">
        <f aca="false">IF(A142="","",A142+7)</f>
        <v/>
      </c>
      <c r="I142" s="17"/>
    </row>
    <row r="143" customFormat="false" ht="15" hidden="false" customHeight="false" outlineLevel="0" collapsed="false">
      <c r="A143" s="21"/>
      <c r="B143" s="17"/>
      <c r="C143" s="17"/>
      <c r="D143" s="12"/>
      <c r="E143" s="17"/>
      <c r="F143" s="12"/>
      <c r="G143" s="12"/>
      <c r="H143" s="22" t="str">
        <f aca="false">IF(A143="","",A143+7)</f>
        <v/>
      </c>
      <c r="I143" s="17"/>
    </row>
    <row r="144" customFormat="false" ht="15" hidden="false" customHeight="false" outlineLevel="0" collapsed="false">
      <c r="A144" s="21"/>
      <c r="B144" s="17"/>
      <c r="C144" s="17"/>
      <c r="D144" s="12"/>
      <c r="E144" s="17"/>
      <c r="F144" s="12"/>
      <c r="G144" s="12"/>
      <c r="H144" s="22" t="str">
        <f aca="false">IF(A144="","",A144+7)</f>
        <v/>
      </c>
      <c r="I144" s="17"/>
    </row>
    <row r="145" customFormat="false" ht="15" hidden="false" customHeight="false" outlineLevel="0" collapsed="false">
      <c r="A145" s="21"/>
      <c r="B145" s="17"/>
      <c r="C145" s="17"/>
      <c r="D145" s="12"/>
      <c r="E145" s="17"/>
      <c r="F145" s="12"/>
      <c r="G145" s="12"/>
      <c r="H145" s="22" t="str">
        <f aca="false">IF(A145="","",A145+7)</f>
        <v/>
      </c>
      <c r="I145" s="17"/>
    </row>
    <row r="146" customFormat="false" ht="15" hidden="false" customHeight="false" outlineLevel="0" collapsed="false">
      <c r="A146" s="21"/>
      <c r="B146" s="17"/>
      <c r="C146" s="17"/>
      <c r="D146" s="12"/>
      <c r="E146" s="17"/>
      <c r="F146" s="12"/>
      <c r="G146" s="12"/>
      <c r="H146" s="22" t="str">
        <f aca="false">IF(A146="","",A146+7)</f>
        <v/>
      </c>
      <c r="I146" s="17"/>
    </row>
    <row r="147" customFormat="false" ht="15" hidden="false" customHeight="false" outlineLevel="0" collapsed="false">
      <c r="A147" s="21"/>
      <c r="B147" s="17"/>
      <c r="C147" s="17"/>
      <c r="D147" s="12"/>
      <c r="E147" s="17"/>
      <c r="F147" s="12"/>
      <c r="G147" s="12"/>
      <c r="H147" s="22" t="str">
        <f aca="false">IF(A147="","",A147+7)</f>
        <v/>
      </c>
      <c r="I147" s="17"/>
    </row>
    <row r="148" customFormat="false" ht="15" hidden="false" customHeight="false" outlineLevel="0" collapsed="false">
      <c r="A148" s="21"/>
      <c r="B148" s="17"/>
      <c r="C148" s="17"/>
      <c r="D148" s="12"/>
      <c r="E148" s="17"/>
      <c r="F148" s="12"/>
      <c r="G148" s="12"/>
      <c r="H148" s="22" t="str">
        <f aca="false">IF(A148="","",A148+7)</f>
        <v/>
      </c>
      <c r="I148" s="17"/>
    </row>
    <row r="149" customFormat="false" ht="15" hidden="false" customHeight="false" outlineLevel="0" collapsed="false">
      <c r="A149" s="21"/>
      <c r="B149" s="17"/>
      <c r="C149" s="17"/>
      <c r="D149" s="12"/>
      <c r="E149" s="17"/>
      <c r="F149" s="12"/>
      <c r="G149" s="12"/>
      <c r="H149" s="22" t="str">
        <f aca="false">IF(A149="","",A149+7)</f>
        <v/>
      </c>
      <c r="I149" s="17"/>
    </row>
    <row r="150" customFormat="false" ht="15" hidden="false" customHeight="false" outlineLevel="0" collapsed="false">
      <c r="A150" s="21"/>
      <c r="B150" s="17"/>
      <c r="C150" s="17"/>
      <c r="D150" s="12"/>
      <c r="E150" s="17"/>
      <c r="F150" s="12"/>
      <c r="G150" s="12"/>
      <c r="H150" s="22" t="str">
        <f aca="false">IF(A150="","",A150+7)</f>
        <v/>
      </c>
      <c r="I150" s="17"/>
    </row>
    <row r="151" customFormat="false" ht="15" hidden="false" customHeight="false" outlineLevel="0" collapsed="false">
      <c r="A151" s="21"/>
      <c r="B151" s="17"/>
      <c r="C151" s="17"/>
      <c r="D151" s="12"/>
      <c r="E151" s="17"/>
      <c r="F151" s="12"/>
      <c r="G151" s="12"/>
      <c r="H151" s="22" t="str">
        <f aca="false">IF(A151="","",A151+7)</f>
        <v/>
      </c>
      <c r="I151" s="17"/>
    </row>
    <row r="152" customFormat="false" ht="15" hidden="false" customHeight="false" outlineLevel="0" collapsed="false">
      <c r="A152" s="21"/>
      <c r="B152" s="17"/>
      <c r="C152" s="17"/>
      <c r="D152" s="12"/>
      <c r="E152" s="17"/>
      <c r="F152" s="12"/>
      <c r="G152" s="12"/>
      <c r="H152" s="22" t="str">
        <f aca="false">IF(A152="","",A152+7)</f>
        <v/>
      </c>
      <c r="I152" s="17"/>
    </row>
    <row r="153" customFormat="false" ht="15" hidden="false" customHeight="false" outlineLevel="0" collapsed="false">
      <c r="A153" s="21"/>
      <c r="B153" s="17"/>
      <c r="C153" s="17"/>
      <c r="D153" s="12"/>
      <c r="E153" s="17"/>
      <c r="F153" s="12"/>
      <c r="G153" s="12"/>
      <c r="H153" s="22" t="str">
        <f aca="false">IF(A153="","",A153+7)</f>
        <v/>
      </c>
      <c r="I153" s="17"/>
    </row>
    <row r="154" customFormat="false" ht="15" hidden="false" customHeight="false" outlineLevel="0" collapsed="false">
      <c r="A154" s="21"/>
      <c r="B154" s="17"/>
      <c r="C154" s="17"/>
      <c r="D154" s="12"/>
      <c r="E154" s="17"/>
      <c r="F154" s="12"/>
      <c r="G154" s="12"/>
      <c r="H154" s="22" t="str">
        <f aca="false">IF(A154="","",A154+7)</f>
        <v/>
      </c>
      <c r="I154" s="17"/>
    </row>
    <row r="155" customFormat="false" ht="15" hidden="false" customHeight="false" outlineLevel="0" collapsed="false">
      <c r="A155" s="21"/>
      <c r="B155" s="17"/>
      <c r="C155" s="17"/>
      <c r="D155" s="12"/>
      <c r="E155" s="17"/>
      <c r="F155" s="12"/>
      <c r="G155" s="12"/>
      <c r="H155" s="22" t="str">
        <f aca="false">IF(A155="","",A155+7)</f>
        <v/>
      </c>
      <c r="I155" s="17"/>
    </row>
    <row r="156" customFormat="false" ht="15" hidden="false" customHeight="false" outlineLevel="0" collapsed="false">
      <c r="A156" s="21"/>
      <c r="B156" s="17"/>
      <c r="C156" s="17"/>
      <c r="D156" s="12"/>
      <c r="E156" s="17"/>
      <c r="F156" s="12"/>
      <c r="G156" s="12"/>
      <c r="H156" s="22" t="str">
        <f aca="false">IF(A156="","",A156+7)</f>
        <v/>
      </c>
      <c r="I156" s="17"/>
    </row>
    <row r="157" customFormat="false" ht="15" hidden="false" customHeight="false" outlineLevel="0" collapsed="false">
      <c r="A157" s="21"/>
      <c r="B157" s="17"/>
      <c r="C157" s="17"/>
      <c r="D157" s="12"/>
      <c r="E157" s="17"/>
      <c r="F157" s="12"/>
      <c r="G157" s="12"/>
      <c r="H157" s="22" t="str">
        <f aca="false">IF(A157="","",A157+7)</f>
        <v/>
      </c>
      <c r="I157" s="17"/>
    </row>
    <row r="158" customFormat="false" ht="15" hidden="false" customHeight="false" outlineLevel="0" collapsed="false">
      <c r="A158" s="21"/>
      <c r="B158" s="17"/>
      <c r="C158" s="17"/>
      <c r="D158" s="12"/>
      <c r="E158" s="17"/>
      <c r="F158" s="12"/>
      <c r="G158" s="12"/>
      <c r="H158" s="22" t="str">
        <f aca="false">IF(A158="","",A158+7)</f>
        <v/>
      </c>
      <c r="I158" s="17"/>
    </row>
    <row r="159" customFormat="false" ht="15" hidden="false" customHeight="false" outlineLevel="0" collapsed="false">
      <c r="A159" s="21"/>
      <c r="B159" s="17"/>
      <c r="C159" s="17"/>
      <c r="D159" s="12"/>
      <c r="E159" s="17"/>
      <c r="F159" s="12"/>
      <c r="G159" s="12"/>
      <c r="H159" s="22" t="str">
        <f aca="false">IF(A159="","",A159+7)</f>
        <v/>
      </c>
      <c r="I159" s="17"/>
    </row>
    <row r="160" customFormat="false" ht="15" hidden="false" customHeight="false" outlineLevel="0" collapsed="false">
      <c r="A160" s="21"/>
      <c r="B160" s="17"/>
      <c r="C160" s="17"/>
      <c r="D160" s="12"/>
      <c r="E160" s="17"/>
      <c r="F160" s="12"/>
      <c r="G160" s="12"/>
      <c r="H160" s="22" t="str">
        <f aca="false">IF(A160="","",A160+7)</f>
        <v/>
      </c>
      <c r="I160" s="17"/>
    </row>
    <row r="161" customFormat="false" ht="15" hidden="false" customHeight="false" outlineLevel="0" collapsed="false">
      <c r="A161" s="21"/>
      <c r="B161" s="17"/>
      <c r="C161" s="17"/>
      <c r="D161" s="12"/>
      <c r="E161" s="17"/>
      <c r="F161" s="12"/>
      <c r="G161" s="12"/>
      <c r="H161" s="22" t="str">
        <f aca="false">IF(A161="","",A161+7)</f>
        <v/>
      </c>
      <c r="I161" s="17"/>
    </row>
    <row r="162" customFormat="false" ht="15" hidden="false" customHeight="false" outlineLevel="0" collapsed="false">
      <c r="A162" s="21"/>
      <c r="B162" s="17"/>
      <c r="C162" s="17"/>
      <c r="D162" s="12"/>
      <c r="E162" s="17"/>
      <c r="F162" s="12"/>
      <c r="G162" s="12"/>
      <c r="H162" s="22" t="str">
        <f aca="false">IF(A162="","",A162+7)</f>
        <v/>
      </c>
      <c r="I162" s="17"/>
    </row>
    <row r="163" customFormat="false" ht="15" hidden="false" customHeight="false" outlineLevel="0" collapsed="false">
      <c r="A163" s="21"/>
      <c r="B163" s="17"/>
      <c r="C163" s="17"/>
      <c r="D163" s="12"/>
      <c r="E163" s="17"/>
      <c r="F163" s="12"/>
      <c r="G163" s="12"/>
      <c r="H163" s="22" t="str">
        <f aca="false">IF(A163="","",A163+7)</f>
        <v/>
      </c>
      <c r="I163" s="17"/>
    </row>
    <row r="164" customFormat="false" ht="15" hidden="false" customHeight="false" outlineLevel="0" collapsed="false">
      <c r="A164" s="21"/>
      <c r="B164" s="17"/>
      <c r="C164" s="17"/>
      <c r="D164" s="12"/>
      <c r="E164" s="17"/>
      <c r="F164" s="12"/>
      <c r="G164" s="12"/>
      <c r="H164" s="22" t="str">
        <f aca="false">IF(A164="","",A164+7)</f>
        <v/>
      </c>
      <c r="I164" s="17"/>
    </row>
    <row r="165" customFormat="false" ht="15" hidden="false" customHeight="false" outlineLevel="0" collapsed="false">
      <c r="A165" s="21"/>
      <c r="B165" s="17"/>
      <c r="C165" s="17"/>
      <c r="D165" s="12"/>
      <c r="E165" s="17"/>
      <c r="F165" s="12"/>
      <c r="G165" s="12"/>
      <c r="H165" s="22" t="str">
        <f aca="false">IF(A165="","",A165+7)</f>
        <v/>
      </c>
      <c r="I165" s="17"/>
    </row>
    <row r="166" customFormat="false" ht="15" hidden="false" customHeight="false" outlineLevel="0" collapsed="false">
      <c r="A166" s="21"/>
      <c r="B166" s="17"/>
      <c r="C166" s="17"/>
      <c r="D166" s="12"/>
      <c r="E166" s="17"/>
      <c r="F166" s="12"/>
      <c r="G166" s="12"/>
      <c r="H166" s="22" t="str">
        <f aca="false">IF(A166="","",A166+7)</f>
        <v/>
      </c>
      <c r="I166" s="17"/>
    </row>
    <row r="167" customFormat="false" ht="15" hidden="false" customHeight="false" outlineLevel="0" collapsed="false">
      <c r="A167" s="21"/>
      <c r="B167" s="17"/>
      <c r="C167" s="17"/>
      <c r="D167" s="12"/>
      <c r="E167" s="17"/>
      <c r="F167" s="12"/>
      <c r="G167" s="12"/>
      <c r="H167" s="22" t="str">
        <f aca="false">IF(A167="","",A167+7)</f>
        <v/>
      </c>
      <c r="I167" s="17"/>
    </row>
    <row r="168" customFormat="false" ht="15" hidden="false" customHeight="false" outlineLevel="0" collapsed="false">
      <c r="A168" s="21"/>
      <c r="B168" s="17"/>
      <c r="C168" s="17"/>
      <c r="D168" s="12"/>
      <c r="E168" s="17"/>
      <c r="F168" s="12"/>
      <c r="G168" s="12"/>
      <c r="H168" s="22" t="str">
        <f aca="false">IF(A168="","",A168+7)</f>
        <v/>
      </c>
      <c r="I168" s="17"/>
    </row>
    <row r="169" customFormat="false" ht="15" hidden="false" customHeight="false" outlineLevel="0" collapsed="false">
      <c r="A169" s="21"/>
      <c r="B169" s="17"/>
      <c r="C169" s="17"/>
      <c r="D169" s="12"/>
      <c r="E169" s="17"/>
      <c r="F169" s="12"/>
      <c r="G169" s="12"/>
      <c r="H169" s="22" t="str">
        <f aca="false">IF(A169="","",A169+7)</f>
        <v/>
      </c>
      <c r="I169" s="17"/>
    </row>
    <row r="170" customFormat="false" ht="15" hidden="false" customHeight="false" outlineLevel="0" collapsed="false">
      <c r="A170" s="21"/>
      <c r="B170" s="17"/>
      <c r="C170" s="17"/>
      <c r="D170" s="12"/>
      <c r="E170" s="17"/>
      <c r="F170" s="12"/>
      <c r="G170" s="12"/>
      <c r="H170" s="22" t="str">
        <f aca="false">IF(A170="","",A170+7)</f>
        <v/>
      </c>
      <c r="I170" s="17"/>
    </row>
    <row r="171" customFormat="false" ht="15" hidden="false" customHeight="false" outlineLevel="0" collapsed="false">
      <c r="A171" s="21"/>
      <c r="B171" s="17"/>
      <c r="C171" s="17"/>
      <c r="D171" s="12"/>
      <c r="E171" s="17"/>
      <c r="F171" s="12"/>
      <c r="G171" s="12"/>
      <c r="H171" s="22" t="str">
        <f aca="false">IF(A171="","",A171+7)</f>
        <v/>
      </c>
      <c r="I171" s="17"/>
    </row>
    <row r="172" customFormat="false" ht="15" hidden="false" customHeight="false" outlineLevel="0" collapsed="false">
      <c r="A172" s="21"/>
      <c r="B172" s="17"/>
      <c r="C172" s="17"/>
      <c r="D172" s="12"/>
      <c r="E172" s="17"/>
      <c r="F172" s="12"/>
      <c r="G172" s="12"/>
      <c r="H172" s="22" t="str">
        <f aca="false">IF(A172="","",A172+7)</f>
        <v/>
      </c>
      <c r="I172" s="17"/>
    </row>
    <row r="173" customFormat="false" ht="15" hidden="false" customHeight="false" outlineLevel="0" collapsed="false">
      <c r="A173" s="21"/>
      <c r="B173" s="17"/>
      <c r="C173" s="17"/>
      <c r="D173" s="12"/>
      <c r="E173" s="17"/>
      <c r="F173" s="12"/>
      <c r="G173" s="12"/>
      <c r="H173" s="22" t="str">
        <f aca="false">IF(A173="","",A173+7)</f>
        <v/>
      </c>
      <c r="I173" s="17"/>
    </row>
    <row r="174" customFormat="false" ht="15" hidden="false" customHeight="false" outlineLevel="0" collapsed="false">
      <c r="A174" s="21"/>
      <c r="B174" s="17"/>
      <c r="C174" s="17"/>
      <c r="D174" s="12"/>
      <c r="E174" s="17"/>
      <c r="F174" s="12"/>
      <c r="G174" s="12"/>
      <c r="H174" s="22" t="str">
        <f aca="false">IF(A174="","",A174+7)</f>
        <v/>
      </c>
      <c r="I174" s="17"/>
    </row>
    <row r="175" customFormat="false" ht="15" hidden="false" customHeight="false" outlineLevel="0" collapsed="false">
      <c r="A175" s="21"/>
      <c r="B175" s="17"/>
      <c r="C175" s="17"/>
      <c r="D175" s="12"/>
      <c r="E175" s="17"/>
      <c r="F175" s="12"/>
      <c r="G175" s="12"/>
      <c r="H175" s="22" t="str">
        <f aca="false">IF(A175="","",A175+7)</f>
        <v/>
      </c>
      <c r="I175" s="17"/>
    </row>
    <row r="176" customFormat="false" ht="15" hidden="false" customHeight="false" outlineLevel="0" collapsed="false">
      <c r="A176" s="21"/>
      <c r="B176" s="17"/>
      <c r="C176" s="17"/>
      <c r="D176" s="12"/>
      <c r="E176" s="17"/>
      <c r="F176" s="12"/>
      <c r="G176" s="12"/>
      <c r="H176" s="22" t="str">
        <f aca="false">IF(A176="","",A176+7)</f>
        <v/>
      </c>
      <c r="I176" s="17"/>
    </row>
    <row r="177" customFormat="false" ht="15" hidden="false" customHeight="false" outlineLevel="0" collapsed="false">
      <c r="A177" s="21"/>
      <c r="B177" s="17"/>
      <c r="C177" s="17"/>
      <c r="D177" s="12"/>
      <c r="E177" s="17"/>
      <c r="F177" s="12"/>
      <c r="G177" s="12"/>
      <c r="H177" s="22" t="str">
        <f aca="false">IF(A177="","",A177+7)</f>
        <v/>
      </c>
      <c r="I177" s="17"/>
    </row>
    <row r="178" customFormat="false" ht="15" hidden="false" customHeight="false" outlineLevel="0" collapsed="false">
      <c r="A178" s="21"/>
      <c r="B178" s="17"/>
      <c r="C178" s="17"/>
      <c r="D178" s="12"/>
      <c r="E178" s="17"/>
      <c r="F178" s="12"/>
      <c r="G178" s="12"/>
      <c r="H178" s="22" t="str">
        <f aca="false">IF(A178="","",A178+7)</f>
        <v/>
      </c>
      <c r="I178" s="17"/>
    </row>
    <row r="179" customFormat="false" ht="15" hidden="false" customHeight="false" outlineLevel="0" collapsed="false">
      <c r="A179" s="21"/>
      <c r="B179" s="17"/>
      <c r="C179" s="17"/>
      <c r="D179" s="12"/>
      <c r="E179" s="17"/>
      <c r="F179" s="12"/>
      <c r="G179" s="12"/>
      <c r="H179" s="22" t="str">
        <f aca="false">IF(A179="","",A179+7)</f>
        <v/>
      </c>
      <c r="I179" s="17"/>
    </row>
    <row r="180" customFormat="false" ht="15" hidden="false" customHeight="false" outlineLevel="0" collapsed="false">
      <c r="A180" s="21"/>
      <c r="B180" s="17"/>
      <c r="C180" s="17"/>
      <c r="D180" s="12"/>
      <c r="E180" s="17"/>
      <c r="F180" s="12"/>
      <c r="G180" s="12"/>
      <c r="H180" s="22" t="str">
        <f aca="false">IF(A180="","",A180+7)</f>
        <v/>
      </c>
      <c r="I180" s="17"/>
    </row>
    <row r="181" customFormat="false" ht="15" hidden="false" customHeight="false" outlineLevel="0" collapsed="false">
      <c r="A181" s="21"/>
      <c r="B181" s="17"/>
      <c r="C181" s="17"/>
      <c r="D181" s="12"/>
      <c r="E181" s="17"/>
      <c r="F181" s="12"/>
      <c r="G181" s="12"/>
      <c r="H181" s="22" t="str">
        <f aca="false">IF(A181="","",A181+7)</f>
        <v/>
      </c>
      <c r="I181" s="17"/>
    </row>
    <row r="182" customFormat="false" ht="15" hidden="false" customHeight="false" outlineLevel="0" collapsed="false">
      <c r="A182" s="21"/>
      <c r="B182" s="17"/>
      <c r="C182" s="17"/>
      <c r="D182" s="12"/>
      <c r="E182" s="17"/>
      <c r="F182" s="12"/>
      <c r="G182" s="12"/>
      <c r="H182" s="22" t="str">
        <f aca="false">IF(A182="","",A182+7)</f>
        <v/>
      </c>
      <c r="I182" s="17"/>
    </row>
    <row r="183" customFormat="false" ht="15" hidden="false" customHeight="false" outlineLevel="0" collapsed="false">
      <c r="A183" s="21"/>
      <c r="B183" s="17"/>
      <c r="C183" s="17"/>
      <c r="D183" s="12"/>
      <c r="E183" s="17"/>
      <c r="F183" s="12"/>
      <c r="G183" s="12"/>
      <c r="H183" s="22" t="str">
        <f aca="false">IF(A183="","",A183+7)</f>
        <v/>
      </c>
      <c r="I183" s="17"/>
    </row>
    <row r="184" customFormat="false" ht="15" hidden="false" customHeight="false" outlineLevel="0" collapsed="false">
      <c r="A184" s="21"/>
      <c r="B184" s="17"/>
      <c r="C184" s="17"/>
      <c r="D184" s="12"/>
      <c r="E184" s="17"/>
      <c r="F184" s="12"/>
      <c r="G184" s="12"/>
      <c r="H184" s="22" t="str">
        <f aca="false">IF(A184="","",A184+7)</f>
        <v/>
      </c>
      <c r="I184" s="17"/>
    </row>
    <row r="185" customFormat="false" ht="15" hidden="false" customHeight="false" outlineLevel="0" collapsed="false">
      <c r="A185" s="21"/>
      <c r="B185" s="17"/>
      <c r="C185" s="17"/>
      <c r="D185" s="12"/>
      <c r="E185" s="17"/>
      <c r="F185" s="12"/>
      <c r="G185" s="12"/>
      <c r="H185" s="22" t="str">
        <f aca="false">IF(A185="","",A185+7)</f>
        <v/>
      </c>
      <c r="I185" s="17"/>
    </row>
    <row r="186" customFormat="false" ht="15" hidden="false" customHeight="false" outlineLevel="0" collapsed="false">
      <c r="A186" s="21"/>
      <c r="B186" s="17"/>
      <c r="C186" s="17"/>
      <c r="D186" s="12"/>
      <c r="E186" s="17"/>
      <c r="F186" s="12"/>
      <c r="G186" s="12"/>
      <c r="H186" s="22" t="str">
        <f aca="false">IF(A186="","",A186+7)</f>
        <v/>
      </c>
      <c r="I186" s="17"/>
    </row>
    <row r="187" customFormat="false" ht="15" hidden="false" customHeight="false" outlineLevel="0" collapsed="false">
      <c r="A187" s="21"/>
      <c r="B187" s="17"/>
      <c r="C187" s="17"/>
      <c r="D187" s="12"/>
      <c r="E187" s="17"/>
      <c r="F187" s="12"/>
      <c r="G187" s="12"/>
      <c r="H187" s="22" t="str">
        <f aca="false">IF(A187="","",A187+7)</f>
        <v/>
      </c>
      <c r="I187" s="17"/>
    </row>
    <row r="188" customFormat="false" ht="15" hidden="false" customHeight="false" outlineLevel="0" collapsed="false">
      <c r="A188" s="21"/>
      <c r="B188" s="17"/>
      <c r="C188" s="17"/>
      <c r="D188" s="12"/>
      <c r="E188" s="17"/>
      <c r="F188" s="12"/>
      <c r="G188" s="12"/>
      <c r="H188" s="22" t="str">
        <f aca="false">IF(A188="","",A188+7)</f>
        <v/>
      </c>
      <c r="I188" s="17"/>
    </row>
    <row r="189" customFormat="false" ht="15" hidden="false" customHeight="false" outlineLevel="0" collapsed="false">
      <c r="A189" s="21"/>
      <c r="B189" s="17"/>
      <c r="C189" s="17"/>
      <c r="D189" s="12"/>
      <c r="E189" s="17"/>
      <c r="F189" s="12"/>
      <c r="G189" s="12"/>
      <c r="H189" s="22" t="str">
        <f aca="false">IF(A189="","",A189+7)</f>
        <v/>
      </c>
      <c r="I189" s="17"/>
    </row>
    <row r="190" customFormat="false" ht="15" hidden="false" customHeight="false" outlineLevel="0" collapsed="false">
      <c r="A190" s="21"/>
      <c r="B190" s="17"/>
      <c r="C190" s="17"/>
      <c r="D190" s="12"/>
      <c r="E190" s="17"/>
      <c r="F190" s="12"/>
      <c r="G190" s="12"/>
      <c r="H190" s="22" t="str">
        <f aca="false">IF(A190="","",A190+7)</f>
        <v/>
      </c>
      <c r="I190" s="17"/>
    </row>
    <row r="191" customFormat="false" ht="15" hidden="false" customHeight="false" outlineLevel="0" collapsed="false">
      <c r="A191" s="21"/>
      <c r="B191" s="17"/>
      <c r="C191" s="17"/>
      <c r="D191" s="12"/>
      <c r="E191" s="17"/>
      <c r="F191" s="12"/>
      <c r="G191" s="12"/>
      <c r="H191" s="22" t="str">
        <f aca="false">IF(A191="","",A191+7)</f>
        <v/>
      </c>
      <c r="I191" s="17"/>
    </row>
    <row r="192" customFormat="false" ht="15" hidden="false" customHeight="false" outlineLevel="0" collapsed="false">
      <c r="A192" s="21"/>
      <c r="B192" s="17"/>
      <c r="C192" s="17"/>
      <c r="D192" s="12"/>
      <c r="E192" s="17"/>
      <c r="F192" s="12"/>
      <c r="G192" s="12"/>
      <c r="H192" s="22" t="str">
        <f aca="false">IF(A192="","",A192+7)</f>
        <v/>
      </c>
      <c r="I192" s="17"/>
    </row>
    <row r="193" customFormat="false" ht="15" hidden="false" customHeight="false" outlineLevel="0" collapsed="false">
      <c r="A193" s="21"/>
      <c r="B193" s="17"/>
      <c r="C193" s="17"/>
      <c r="D193" s="12"/>
      <c r="E193" s="17"/>
      <c r="F193" s="12"/>
      <c r="G193" s="12"/>
      <c r="H193" s="22" t="str">
        <f aca="false">IF(A193="","",A193+7)</f>
        <v/>
      </c>
      <c r="I193" s="17"/>
    </row>
    <row r="194" customFormat="false" ht="15" hidden="false" customHeight="false" outlineLevel="0" collapsed="false">
      <c r="A194" s="21"/>
      <c r="B194" s="17"/>
      <c r="C194" s="17"/>
      <c r="D194" s="12"/>
      <c r="E194" s="17"/>
      <c r="F194" s="12"/>
      <c r="G194" s="12"/>
      <c r="H194" s="22" t="str">
        <f aca="false">IF(A194="","",A194+7)</f>
        <v/>
      </c>
      <c r="I194" s="17"/>
    </row>
    <row r="195" customFormat="false" ht="15" hidden="false" customHeight="false" outlineLevel="0" collapsed="false">
      <c r="A195" s="21"/>
      <c r="B195" s="17"/>
      <c r="C195" s="17"/>
      <c r="D195" s="12"/>
      <c r="E195" s="17"/>
      <c r="F195" s="12"/>
      <c r="G195" s="12"/>
      <c r="H195" s="22" t="str">
        <f aca="false">IF(A195="","",A195+7)</f>
        <v/>
      </c>
      <c r="I195" s="17"/>
    </row>
    <row r="196" customFormat="false" ht="15" hidden="false" customHeight="false" outlineLevel="0" collapsed="false">
      <c r="A196" s="21"/>
      <c r="B196" s="17"/>
      <c r="C196" s="17"/>
      <c r="D196" s="12"/>
      <c r="E196" s="17"/>
      <c r="F196" s="12"/>
      <c r="G196" s="12"/>
      <c r="H196" s="22" t="str">
        <f aca="false">IF(A196="","",A196+7)</f>
        <v/>
      </c>
      <c r="I196" s="17"/>
    </row>
    <row r="197" customFormat="false" ht="15" hidden="false" customHeight="false" outlineLevel="0" collapsed="false">
      <c r="A197" s="21"/>
      <c r="B197" s="17"/>
      <c r="C197" s="17"/>
      <c r="D197" s="12"/>
      <c r="E197" s="17"/>
      <c r="F197" s="12"/>
      <c r="G197" s="12"/>
      <c r="H197" s="22" t="str">
        <f aca="false">IF(A197="","",A197+7)</f>
        <v/>
      </c>
      <c r="I197" s="17"/>
    </row>
    <row r="198" customFormat="false" ht="15" hidden="false" customHeight="false" outlineLevel="0" collapsed="false">
      <c r="A198" s="21"/>
      <c r="B198" s="17"/>
      <c r="C198" s="17"/>
      <c r="D198" s="12"/>
      <c r="E198" s="17"/>
      <c r="F198" s="12"/>
      <c r="G198" s="12"/>
      <c r="H198" s="22" t="str">
        <f aca="false">IF(A198="","",A198+7)</f>
        <v/>
      </c>
      <c r="I198" s="17"/>
    </row>
    <row r="199" customFormat="false" ht="15" hidden="false" customHeight="false" outlineLevel="0" collapsed="false">
      <c r="A199" s="21"/>
      <c r="B199" s="17"/>
      <c r="C199" s="17"/>
      <c r="D199" s="12"/>
      <c r="E199" s="17"/>
      <c r="F199" s="12"/>
      <c r="G199" s="12"/>
      <c r="H199" s="22" t="str">
        <f aca="false">IF(A199="","",A199+7)</f>
        <v/>
      </c>
      <c r="I199" s="17"/>
    </row>
    <row r="200" customFormat="false" ht="15" hidden="false" customHeight="false" outlineLevel="0" collapsed="false">
      <c r="A200" s="21"/>
      <c r="B200" s="17"/>
      <c r="C200" s="17"/>
      <c r="D200" s="12"/>
      <c r="E200" s="17"/>
      <c r="F200" s="12"/>
      <c r="G200" s="12"/>
      <c r="H200" s="22" t="str">
        <f aca="false">IF(A200="","",A200+7)</f>
        <v/>
      </c>
      <c r="I200" s="17"/>
    </row>
    <row r="201" customFormat="false" ht="15" hidden="false" customHeight="false" outlineLevel="0" collapsed="false">
      <c r="A201" s="21"/>
      <c r="B201" s="17"/>
      <c r="C201" s="17"/>
      <c r="D201" s="12"/>
      <c r="E201" s="17"/>
      <c r="F201" s="12"/>
      <c r="G201" s="12"/>
      <c r="H201" s="22" t="str">
        <f aca="false">IF(A201="","",A201+7)</f>
        <v/>
      </c>
      <c r="I201" s="17"/>
    </row>
    <row r="202" customFormat="false" ht="15" hidden="false" customHeight="false" outlineLevel="0" collapsed="false">
      <c r="A202" s="21"/>
      <c r="B202" s="17"/>
      <c r="C202" s="17"/>
      <c r="D202" s="12"/>
      <c r="E202" s="17"/>
      <c r="F202" s="12"/>
      <c r="G202" s="12"/>
      <c r="H202" s="22" t="str">
        <f aca="false">IF(A202="","",A202+7)</f>
        <v/>
      </c>
      <c r="I202" s="17"/>
    </row>
    <row r="203" customFormat="false" ht="15" hidden="false" customHeight="false" outlineLevel="0" collapsed="false">
      <c r="A203" s="21"/>
      <c r="B203" s="17"/>
      <c r="C203" s="17"/>
      <c r="D203" s="12"/>
      <c r="E203" s="17"/>
      <c r="F203" s="12"/>
      <c r="G203" s="12"/>
      <c r="H203" s="22" t="str">
        <f aca="false">IF(A203="","",A203+7)</f>
        <v/>
      </c>
      <c r="I203" s="17"/>
    </row>
    <row r="204" customFormat="false" ht="15" hidden="false" customHeight="false" outlineLevel="0" collapsed="false">
      <c r="A204" s="21"/>
      <c r="B204" s="17"/>
      <c r="C204" s="17"/>
      <c r="D204" s="12"/>
      <c r="E204" s="17"/>
      <c r="F204" s="12"/>
      <c r="G204" s="12"/>
      <c r="H204" s="22" t="str">
        <f aca="false">IF(A204="","",A204+7)</f>
        <v/>
      </c>
      <c r="I204" s="17"/>
    </row>
    <row r="205" customFormat="false" ht="15" hidden="false" customHeight="false" outlineLevel="0" collapsed="false">
      <c r="A205" s="21"/>
      <c r="B205" s="17"/>
      <c r="C205" s="17"/>
      <c r="D205" s="12"/>
      <c r="E205" s="17"/>
      <c r="F205" s="12"/>
      <c r="G205" s="12"/>
      <c r="H205" s="22" t="str">
        <f aca="false">IF(A205="","",A205+7)</f>
        <v/>
      </c>
      <c r="I205" s="17"/>
    </row>
    <row r="206" customFormat="false" ht="15" hidden="false" customHeight="false" outlineLevel="0" collapsed="false">
      <c r="A206" s="21"/>
      <c r="B206" s="17"/>
      <c r="C206" s="17"/>
      <c r="D206" s="12"/>
      <c r="E206" s="17"/>
      <c r="F206" s="12"/>
      <c r="G206" s="12"/>
      <c r="H206" s="22" t="str">
        <f aca="false">IF(A206="","",A206+7)</f>
        <v/>
      </c>
      <c r="I206" s="17"/>
    </row>
    <row r="207" customFormat="false" ht="15" hidden="false" customHeight="false" outlineLevel="0" collapsed="false">
      <c r="A207" s="21"/>
      <c r="B207" s="17"/>
      <c r="C207" s="17"/>
      <c r="D207" s="12"/>
      <c r="E207" s="17"/>
      <c r="F207" s="12"/>
      <c r="G207" s="12"/>
      <c r="H207" s="22" t="str">
        <f aca="false">IF(A207="","",A207+7)</f>
        <v/>
      </c>
      <c r="I207" s="17"/>
    </row>
    <row r="208" customFormat="false" ht="15" hidden="false" customHeight="false" outlineLevel="0" collapsed="false">
      <c r="A208" s="21"/>
      <c r="B208" s="17"/>
      <c r="C208" s="17"/>
      <c r="D208" s="12"/>
      <c r="E208" s="17"/>
      <c r="F208" s="12"/>
      <c r="G208" s="12"/>
      <c r="H208" s="22" t="str">
        <f aca="false">IF(A208="","",A208+7)</f>
        <v/>
      </c>
      <c r="I208" s="17"/>
    </row>
    <row r="209" customFormat="false" ht="15" hidden="false" customHeight="false" outlineLevel="0" collapsed="false">
      <c r="A209" s="21"/>
      <c r="B209" s="17"/>
      <c r="C209" s="17"/>
      <c r="D209" s="12"/>
      <c r="E209" s="17"/>
      <c r="F209" s="12"/>
      <c r="G209" s="12"/>
      <c r="H209" s="22" t="str">
        <f aca="false">IF(A209="","",A209+7)</f>
        <v/>
      </c>
      <c r="I209" s="17"/>
    </row>
    <row r="210" customFormat="false" ht="15" hidden="false" customHeight="false" outlineLevel="0" collapsed="false">
      <c r="A210" s="21"/>
      <c r="B210" s="17"/>
      <c r="C210" s="17"/>
      <c r="D210" s="12"/>
      <c r="E210" s="17"/>
      <c r="F210" s="12"/>
      <c r="G210" s="12"/>
      <c r="H210" s="22" t="str">
        <f aca="false">IF(A210="","",A210+7)</f>
        <v/>
      </c>
      <c r="I210" s="17"/>
    </row>
    <row r="211" customFormat="false" ht="15" hidden="false" customHeight="false" outlineLevel="0" collapsed="false">
      <c r="A211" s="21"/>
      <c r="B211" s="17"/>
      <c r="C211" s="17"/>
      <c r="D211" s="12"/>
      <c r="E211" s="17"/>
      <c r="F211" s="12"/>
      <c r="G211" s="12"/>
      <c r="H211" s="22" t="str">
        <f aca="false">IF(A211="","",A211+7)</f>
        <v/>
      </c>
      <c r="I211" s="17"/>
    </row>
    <row r="212" customFormat="false" ht="15" hidden="false" customHeight="false" outlineLevel="0" collapsed="false">
      <c r="A212" s="21"/>
      <c r="B212" s="17"/>
      <c r="C212" s="17"/>
      <c r="D212" s="12"/>
      <c r="E212" s="17"/>
      <c r="F212" s="12"/>
      <c r="G212" s="12"/>
      <c r="H212" s="22" t="str">
        <f aca="false">IF(A212="","",A212+7)</f>
        <v/>
      </c>
      <c r="I212" s="17"/>
    </row>
    <row r="213" customFormat="false" ht="15" hidden="false" customHeight="false" outlineLevel="0" collapsed="false">
      <c r="A213" s="21"/>
      <c r="B213" s="17"/>
      <c r="C213" s="17"/>
      <c r="D213" s="12"/>
      <c r="E213" s="17"/>
      <c r="F213" s="12"/>
      <c r="G213" s="12"/>
      <c r="H213" s="22" t="str">
        <f aca="false">IF(A213="","",A213+7)</f>
        <v/>
      </c>
      <c r="I213" s="17"/>
    </row>
    <row r="214" customFormat="false" ht="15" hidden="false" customHeight="false" outlineLevel="0" collapsed="false">
      <c r="A214" s="21"/>
      <c r="B214" s="17"/>
      <c r="C214" s="17"/>
      <c r="D214" s="12"/>
      <c r="E214" s="17"/>
      <c r="F214" s="12"/>
      <c r="G214" s="12"/>
      <c r="H214" s="22" t="str">
        <f aca="false">IF(A214="","",A214+7)</f>
        <v/>
      </c>
      <c r="I214" s="17"/>
    </row>
    <row r="215" customFormat="false" ht="15" hidden="false" customHeight="false" outlineLevel="0" collapsed="false">
      <c r="A215" s="21"/>
      <c r="B215" s="17"/>
      <c r="C215" s="17"/>
      <c r="D215" s="12"/>
      <c r="E215" s="17"/>
      <c r="F215" s="12"/>
      <c r="G215" s="12"/>
      <c r="H215" s="22" t="str">
        <f aca="false">IF(A215="","",A215+7)</f>
        <v/>
      </c>
      <c r="I215" s="17"/>
    </row>
    <row r="216" customFormat="false" ht="15" hidden="false" customHeight="false" outlineLevel="0" collapsed="false">
      <c r="A216" s="21"/>
      <c r="B216" s="17"/>
      <c r="C216" s="17"/>
      <c r="D216" s="12"/>
      <c r="E216" s="17"/>
      <c r="F216" s="12"/>
      <c r="G216" s="12"/>
      <c r="H216" s="22" t="str">
        <f aca="false">IF(A216="","",A216+7)</f>
        <v/>
      </c>
      <c r="I216" s="17"/>
    </row>
    <row r="217" customFormat="false" ht="15" hidden="false" customHeight="false" outlineLevel="0" collapsed="false">
      <c r="A217" s="21"/>
      <c r="B217" s="17"/>
      <c r="C217" s="17"/>
      <c r="D217" s="12"/>
      <c r="E217" s="17"/>
      <c r="F217" s="12"/>
      <c r="G217" s="12"/>
      <c r="H217" s="22" t="str">
        <f aca="false">IF(A217="","",A217+7)</f>
        <v/>
      </c>
      <c r="I217" s="17"/>
    </row>
    <row r="218" customFormat="false" ht="15" hidden="false" customHeight="false" outlineLevel="0" collapsed="false">
      <c r="A218" s="21"/>
      <c r="B218" s="17"/>
      <c r="C218" s="17"/>
      <c r="D218" s="12"/>
      <c r="E218" s="17"/>
      <c r="F218" s="12"/>
      <c r="G218" s="12"/>
      <c r="H218" s="22" t="str">
        <f aca="false">IF(A218="","",A218+7)</f>
        <v/>
      </c>
      <c r="I218" s="17"/>
    </row>
    <row r="219" customFormat="false" ht="15" hidden="false" customHeight="false" outlineLevel="0" collapsed="false">
      <c r="A219" s="21"/>
      <c r="B219" s="17"/>
      <c r="C219" s="17"/>
      <c r="D219" s="12"/>
      <c r="E219" s="17"/>
      <c r="F219" s="12"/>
      <c r="G219" s="12"/>
      <c r="H219" s="22" t="str">
        <f aca="false">IF(A219="","",A219+7)</f>
        <v/>
      </c>
      <c r="I219" s="17"/>
    </row>
    <row r="220" customFormat="false" ht="15" hidden="false" customHeight="false" outlineLevel="0" collapsed="false">
      <c r="A220" s="21"/>
      <c r="B220" s="17"/>
      <c r="C220" s="17"/>
      <c r="D220" s="12"/>
      <c r="E220" s="17"/>
      <c r="F220" s="12"/>
      <c r="G220" s="12"/>
      <c r="H220" s="22" t="str">
        <f aca="false">IF(A220="","",A220+7)</f>
        <v/>
      </c>
      <c r="I220" s="17"/>
    </row>
    <row r="221" customFormat="false" ht="15" hidden="false" customHeight="false" outlineLevel="0" collapsed="false">
      <c r="A221" s="21"/>
      <c r="B221" s="17"/>
      <c r="C221" s="17"/>
      <c r="D221" s="12"/>
      <c r="E221" s="17"/>
      <c r="F221" s="12"/>
      <c r="G221" s="12"/>
      <c r="H221" s="22" t="str">
        <f aca="false">IF(A221="","",A221+7)</f>
        <v/>
      </c>
      <c r="I221" s="17"/>
    </row>
    <row r="222" customFormat="false" ht="15" hidden="false" customHeight="false" outlineLevel="0" collapsed="false">
      <c r="A222" s="21"/>
      <c r="B222" s="17"/>
      <c r="C222" s="17"/>
      <c r="D222" s="12"/>
      <c r="E222" s="17"/>
      <c r="F222" s="12"/>
      <c r="G222" s="12"/>
      <c r="H222" s="22" t="str">
        <f aca="false">IF(A222="","",A222+7)</f>
        <v/>
      </c>
      <c r="I222" s="17"/>
    </row>
    <row r="223" customFormat="false" ht="15" hidden="false" customHeight="false" outlineLevel="0" collapsed="false">
      <c r="A223" s="21"/>
      <c r="B223" s="17"/>
      <c r="C223" s="17"/>
      <c r="D223" s="12"/>
      <c r="E223" s="17"/>
      <c r="F223" s="12"/>
      <c r="G223" s="12"/>
      <c r="H223" s="22" t="str">
        <f aca="false">IF(A223="","",A223+7)</f>
        <v/>
      </c>
      <c r="I223" s="17"/>
    </row>
    <row r="224" customFormat="false" ht="15" hidden="false" customHeight="false" outlineLevel="0" collapsed="false">
      <c r="A224" s="21"/>
      <c r="B224" s="17"/>
      <c r="C224" s="17"/>
      <c r="D224" s="12"/>
      <c r="E224" s="17"/>
      <c r="F224" s="12"/>
      <c r="G224" s="12"/>
      <c r="H224" s="22" t="str">
        <f aca="false">IF(A224="","",A224+7)</f>
        <v/>
      </c>
      <c r="I224" s="17"/>
    </row>
    <row r="225" customFormat="false" ht="15" hidden="false" customHeight="false" outlineLevel="0" collapsed="false">
      <c r="A225" s="21"/>
      <c r="B225" s="17"/>
      <c r="C225" s="17"/>
      <c r="D225" s="12"/>
      <c r="E225" s="17"/>
      <c r="F225" s="12"/>
      <c r="G225" s="12"/>
      <c r="H225" s="22" t="str">
        <f aca="false">IF(A225="","",A225+7)</f>
        <v/>
      </c>
      <c r="I225" s="17"/>
    </row>
    <row r="226" customFormat="false" ht="15" hidden="false" customHeight="false" outlineLevel="0" collapsed="false">
      <c r="A226" s="21"/>
      <c r="B226" s="17"/>
      <c r="C226" s="17"/>
      <c r="D226" s="12"/>
      <c r="E226" s="17"/>
      <c r="F226" s="12"/>
      <c r="G226" s="12"/>
      <c r="H226" s="22" t="str">
        <f aca="false">IF(A226="","",A226+7)</f>
        <v/>
      </c>
      <c r="I226" s="17"/>
    </row>
    <row r="227" customFormat="false" ht="15" hidden="false" customHeight="false" outlineLevel="0" collapsed="false">
      <c r="A227" s="21"/>
      <c r="B227" s="17"/>
      <c r="C227" s="17"/>
      <c r="D227" s="12"/>
      <c r="E227" s="17"/>
      <c r="F227" s="12"/>
      <c r="G227" s="12"/>
      <c r="H227" s="22" t="str">
        <f aca="false">IF(A227="","",A227+7)</f>
        <v/>
      </c>
      <c r="I227" s="17"/>
    </row>
    <row r="228" customFormat="false" ht="15" hidden="false" customHeight="false" outlineLevel="0" collapsed="false">
      <c r="A228" s="21"/>
      <c r="B228" s="17"/>
      <c r="C228" s="17"/>
      <c r="D228" s="12"/>
      <c r="E228" s="17"/>
      <c r="F228" s="12"/>
      <c r="G228" s="12"/>
      <c r="H228" s="22" t="str">
        <f aca="false">IF(A228="","",A228+7)</f>
        <v/>
      </c>
      <c r="I228" s="17"/>
    </row>
    <row r="229" customFormat="false" ht="15" hidden="false" customHeight="false" outlineLevel="0" collapsed="false">
      <c r="A229" s="21"/>
      <c r="B229" s="17"/>
      <c r="C229" s="17"/>
      <c r="D229" s="12"/>
      <c r="E229" s="17"/>
      <c r="F229" s="12"/>
      <c r="G229" s="12"/>
      <c r="H229" s="22" t="str">
        <f aca="false">IF(A229="","",A229+7)</f>
        <v/>
      </c>
      <c r="I229" s="17"/>
    </row>
    <row r="230" customFormat="false" ht="15" hidden="false" customHeight="false" outlineLevel="0" collapsed="false">
      <c r="A230" s="21"/>
      <c r="B230" s="17"/>
      <c r="C230" s="17"/>
      <c r="D230" s="12"/>
      <c r="E230" s="17"/>
      <c r="F230" s="12"/>
      <c r="G230" s="12"/>
      <c r="H230" s="22" t="str">
        <f aca="false">IF(A230="","",A230+7)</f>
        <v/>
      </c>
      <c r="I230" s="17"/>
    </row>
    <row r="231" customFormat="false" ht="15" hidden="false" customHeight="false" outlineLevel="0" collapsed="false">
      <c r="A231" s="21"/>
      <c r="B231" s="17"/>
      <c r="C231" s="17"/>
      <c r="D231" s="12"/>
      <c r="E231" s="17"/>
      <c r="F231" s="12"/>
      <c r="G231" s="12"/>
      <c r="H231" s="22" t="str">
        <f aca="false">IF(A231="","",A231+7)</f>
        <v/>
      </c>
      <c r="I231" s="17"/>
    </row>
    <row r="232" customFormat="false" ht="15" hidden="false" customHeight="false" outlineLevel="0" collapsed="false">
      <c r="A232" s="21"/>
      <c r="B232" s="17"/>
      <c r="C232" s="17"/>
      <c r="D232" s="12"/>
      <c r="E232" s="17"/>
      <c r="F232" s="12"/>
      <c r="G232" s="12"/>
      <c r="H232" s="22" t="str">
        <f aca="false">IF(A232="","",A232+7)</f>
        <v/>
      </c>
      <c r="I232" s="17"/>
    </row>
    <row r="233" customFormat="false" ht="15" hidden="false" customHeight="false" outlineLevel="0" collapsed="false">
      <c r="A233" s="21"/>
      <c r="B233" s="17"/>
      <c r="C233" s="17"/>
      <c r="D233" s="12"/>
      <c r="E233" s="17"/>
      <c r="F233" s="12"/>
      <c r="G233" s="12"/>
      <c r="H233" s="22" t="str">
        <f aca="false">IF(A233="","",A233+7)</f>
        <v/>
      </c>
      <c r="I233" s="17"/>
    </row>
    <row r="234" customFormat="false" ht="15" hidden="false" customHeight="false" outlineLevel="0" collapsed="false">
      <c r="A234" s="21"/>
      <c r="B234" s="17"/>
      <c r="C234" s="17"/>
      <c r="D234" s="12"/>
      <c r="E234" s="17"/>
      <c r="F234" s="12"/>
      <c r="G234" s="12"/>
      <c r="H234" s="22" t="str">
        <f aca="false">IF(A234="","",A234+7)</f>
        <v/>
      </c>
      <c r="I234" s="17"/>
    </row>
    <row r="235" customFormat="false" ht="15" hidden="false" customHeight="false" outlineLevel="0" collapsed="false">
      <c r="A235" s="21"/>
      <c r="B235" s="17"/>
      <c r="C235" s="17"/>
      <c r="D235" s="12"/>
      <c r="E235" s="17"/>
      <c r="F235" s="12"/>
      <c r="G235" s="12"/>
      <c r="H235" s="22" t="str">
        <f aca="false">IF(A235="","",A235+7)</f>
        <v/>
      </c>
      <c r="I235" s="17"/>
    </row>
    <row r="236" customFormat="false" ht="15" hidden="false" customHeight="false" outlineLevel="0" collapsed="false">
      <c r="A236" s="21"/>
      <c r="B236" s="17"/>
      <c r="C236" s="17"/>
      <c r="D236" s="12"/>
      <c r="E236" s="17"/>
      <c r="F236" s="12"/>
      <c r="G236" s="12"/>
      <c r="H236" s="22" t="str">
        <f aca="false">IF(A236="","",A236+7)</f>
        <v/>
      </c>
      <c r="I236" s="17"/>
    </row>
    <row r="237" customFormat="false" ht="15" hidden="false" customHeight="false" outlineLevel="0" collapsed="false">
      <c r="A237" s="21"/>
      <c r="B237" s="17"/>
      <c r="C237" s="17"/>
      <c r="D237" s="12"/>
      <c r="E237" s="17"/>
      <c r="F237" s="12"/>
      <c r="G237" s="12"/>
      <c r="H237" s="22" t="str">
        <f aca="false">IF(A237="","",A237+7)</f>
        <v/>
      </c>
      <c r="I237" s="17"/>
    </row>
    <row r="238" customFormat="false" ht="15" hidden="false" customHeight="false" outlineLevel="0" collapsed="false">
      <c r="A238" s="21"/>
      <c r="B238" s="17"/>
      <c r="C238" s="17"/>
      <c r="D238" s="12"/>
      <c r="E238" s="17"/>
      <c r="F238" s="12"/>
      <c r="G238" s="12"/>
      <c r="H238" s="22" t="str">
        <f aca="false">IF(A238="","",A238+7)</f>
        <v/>
      </c>
      <c r="I238" s="17"/>
    </row>
    <row r="239" customFormat="false" ht="15" hidden="false" customHeight="false" outlineLevel="0" collapsed="false">
      <c r="A239" s="21"/>
      <c r="B239" s="17"/>
      <c r="C239" s="17"/>
      <c r="D239" s="12"/>
      <c r="E239" s="17"/>
      <c r="F239" s="12"/>
      <c r="G239" s="12"/>
      <c r="H239" s="22" t="str">
        <f aca="false">IF(A239="","",A239+7)</f>
        <v/>
      </c>
      <c r="I239" s="17"/>
    </row>
    <row r="240" customFormat="false" ht="15" hidden="false" customHeight="false" outlineLevel="0" collapsed="false">
      <c r="A240" s="21"/>
      <c r="B240" s="17"/>
      <c r="C240" s="17"/>
      <c r="D240" s="12"/>
      <c r="E240" s="17"/>
      <c r="F240" s="12"/>
      <c r="G240" s="12"/>
      <c r="H240" s="22" t="str">
        <f aca="false">IF(A240="","",A240+7)</f>
        <v/>
      </c>
      <c r="I240" s="17"/>
    </row>
    <row r="241" customFormat="false" ht="15" hidden="false" customHeight="false" outlineLevel="0" collapsed="false">
      <c r="A241" s="21"/>
      <c r="B241" s="17"/>
      <c r="C241" s="17"/>
      <c r="D241" s="12"/>
      <c r="E241" s="17"/>
      <c r="F241" s="12"/>
      <c r="G241" s="12"/>
      <c r="H241" s="22" t="str">
        <f aca="false">IF(A241="","",A241+7)</f>
        <v/>
      </c>
      <c r="I241" s="17"/>
    </row>
    <row r="242" customFormat="false" ht="15" hidden="false" customHeight="false" outlineLevel="0" collapsed="false">
      <c r="A242" s="21"/>
      <c r="B242" s="17"/>
      <c r="C242" s="17"/>
      <c r="D242" s="12"/>
      <c r="E242" s="17"/>
      <c r="F242" s="12"/>
      <c r="G242" s="12"/>
      <c r="H242" s="22" t="str">
        <f aca="false">IF(A242="","",A242+7)</f>
        <v/>
      </c>
      <c r="I242" s="17"/>
    </row>
    <row r="243" customFormat="false" ht="15" hidden="false" customHeight="false" outlineLevel="0" collapsed="false">
      <c r="A243" s="21"/>
      <c r="B243" s="17"/>
      <c r="C243" s="17"/>
      <c r="D243" s="12"/>
      <c r="E243" s="17"/>
      <c r="F243" s="12"/>
      <c r="G243" s="12"/>
      <c r="H243" s="22" t="str">
        <f aca="false">IF(A243="","",A243+7)</f>
        <v/>
      </c>
      <c r="I243" s="17"/>
    </row>
    <row r="244" customFormat="false" ht="15" hidden="false" customHeight="false" outlineLevel="0" collapsed="false">
      <c r="A244" s="21"/>
      <c r="B244" s="17"/>
      <c r="C244" s="17"/>
      <c r="D244" s="12"/>
      <c r="E244" s="17"/>
      <c r="F244" s="12"/>
      <c r="G244" s="12"/>
      <c r="H244" s="22" t="str">
        <f aca="false">IF(A244="","",A244+7)</f>
        <v/>
      </c>
      <c r="I244" s="17"/>
    </row>
    <row r="245" customFormat="false" ht="15" hidden="false" customHeight="false" outlineLevel="0" collapsed="false">
      <c r="A245" s="21"/>
      <c r="B245" s="17"/>
      <c r="C245" s="17"/>
      <c r="D245" s="12"/>
      <c r="E245" s="17"/>
      <c r="F245" s="12"/>
      <c r="G245" s="12"/>
      <c r="H245" s="22" t="str">
        <f aca="false">IF(A245="","",A245+7)</f>
        <v/>
      </c>
      <c r="I245" s="17"/>
    </row>
    <row r="246" customFormat="false" ht="15" hidden="false" customHeight="false" outlineLevel="0" collapsed="false">
      <c r="A246" s="21"/>
      <c r="B246" s="17"/>
      <c r="C246" s="17"/>
      <c r="D246" s="12"/>
      <c r="E246" s="17"/>
      <c r="F246" s="12"/>
      <c r="G246" s="12"/>
      <c r="H246" s="22" t="str">
        <f aca="false">IF(A246="","",A246+7)</f>
        <v/>
      </c>
      <c r="I246" s="17"/>
    </row>
    <row r="247" customFormat="false" ht="15" hidden="false" customHeight="false" outlineLevel="0" collapsed="false">
      <c r="A247" s="21"/>
      <c r="B247" s="17"/>
      <c r="C247" s="17"/>
      <c r="D247" s="12"/>
      <c r="E247" s="17"/>
      <c r="F247" s="12"/>
      <c r="G247" s="12"/>
      <c r="H247" s="22" t="str">
        <f aca="false">IF(A247="","",A247+7)</f>
        <v/>
      </c>
      <c r="I247" s="17"/>
    </row>
    <row r="248" customFormat="false" ht="15" hidden="false" customHeight="false" outlineLevel="0" collapsed="false">
      <c r="A248" s="21"/>
      <c r="B248" s="17"/>
      <c r="C248" s="17"/>
      <c r="D248" s="12"/>
      <c r="E248" s="17"/>
      <c r="F248" s="12"/>
      <c r="G248" s="12"/>
      <c r="H248" s="22" t="str">
        <f aca="false">IF(A248="","",A248+7)</f>
        <v/>
      </c>
      <c r="I248" s="17"/>
    </row>
    <row r="249" customFormat="false" ht="15" hidden="false" customHeight="false" outlineLevel="0" collapsed="false">
      <c r="A249" s="21"/>
      <c r="B249" s="17"/>
      <c r="C249" s="17"/>
      <c r="D249" s="12"/>
      <c r="E249" s="17"/>
      <c r="F249" s="12"/>
      <c r="G249" s="12"/>
      <c r="H249" s="22" t="str">
        <f aca="false">IF(A249="","",A249+7)</f>
        <v/>
      </c>
      <c r="I249" s="17"/>
    </row>
    <row r="250" customFormat="false" ht="15" hidden="false" customHeight="false" outlineLevel="0" collapsed="false">
      <c r="A250" s="21"/>
      <c r="B250" s="17"/>
      <c r="C250" s="17"/>
      <c r="D250" s="12"/>
      <c r="E250" s="17"/>
      <c r="F250" s="12"/>
      <c r="G250" s="12"/>
      <c r="H250" s="22" t="str">
        <f aca="false">IF(A250="","",A250+7)</f>
        <v/>
      </c>
      <c r="I250" s="17"/>
    </row>
    <row r="251" customFormat="false" ht="15" hidden="false" customHeight="false" outlineLevel="0" collapsed="false">
      <c r="A251" s="21"/>
      <c r="B251" s="17"/>
      <c r="C251" s="17"/>
      <c r="D251" s="12"/>
      <c r="E251" s="17"/>
      <c r="F251" s="12"/>
      <c r="G251" s="12"/>
      <c r="H251" s="22" t="str">
        <f aca="false">IF(A251="","",A251+7)</f>
        <v/>
      </c>
      <c r="I251" s="17"/>
    </row>
    <row r="252" customFormat="false" ht="15" hidden="false" customHeight="false" outlineLevel="0" collapsed="false">
      <c r="A252" s="21"/>
      <c r="B252" s="17"/>
      <c r="C252" s="17"/>
      <c r="D252" s="12"/>
      <c r="E252" s="17"/>
      <c r="F252" s="12"/>
      <c r="G252" s="12"/>
      <c r="H252" s="22" t="str">
        <f aca="false">IF(A252="","",A252+7)</f>
        <v/>
      </c>
      <c r="I252" s="17"/>
    </row>
    <row r="253" customFormat="false" ht="15" hidden="false" customHeight="false" outlineLevel="0" collapsed="false">
      <c r="A253" s="21"/>
      <c r="B253" s="17"/>
      <c r="C253" s="17"/>
      <c r="D253" s="12"/>
      <c r="E253" s="17"/>
      <c r="F253" s="12"/>
      <c r="G253" s="12"/>
      <c r="H253" s="22" t="str">
        <f aca="false">IF(A253="","",A253+7)</f>
        <v/>
      </c>
      <c r="I253" s="17"/>
    </row>
    <row r="254" customFormat="false" ht="15" hidden="false" customHeight="false" outlineLevel="0" collapsed="false">
      <c r="A254" s="21"/>
      <c r="B254" s="17"/>
      <c r="C254" s="17"/>
      <c r="D254" s="12"/>
      <c r="E254" s="17"/>
      <c r="F254" s="12"/>
      <c r="G254" s="12"/>
      <c r="H254" s="22" t="str">
        <f aca="false">IF(A254="","",A254+7)</f>
        <v/>
      </c>
      <c r="I254" s="17"/>
    </row>
    <row r="255" customFormat="false" ht="15" hidden="false" customHeight="false" outlineLevel="0" collapsed="false">
      <c r="A255" s="21"/>
      <c r="B255" s="17"/>
      <c r="C255" s="17"/>
      <c r="D255" s="12"/>
      <c r="E255" s="17"/>
      <c r="F255" s="12"/>
      <c r="G255" s="12"/>
      <c r="H255" s="22" t="str">
        <f aca="false">IF(A255="","",A255+7)</f>
        <v/>
      </c>
      <c r="I255" s="17"/>
    </row>
    <row r="256" customFormat="false" ht="15" hidden="false" customHeight="false" outlineLevel="0" collapsed="false">
      <c r="A256" s="21"/>
      <c r="B256" s="17"/>
      <c r="C256" s="17"/>
      <c r="D256" s="12"/>
      <c r="E256" s="17"/>
      <c r="F256" s="12"/>
      <c r="G256" s="12"/>
      <c r="H256" s="22" t="str">
        <f aca="false">IF(A256="","",A256+7)</f>
        <v/>
      </c>
      <c r="I256" s="17"/>
    </row>
    <row r="257" customFormat="false" ht="15" hidden="false" customHeight="false" outlineLevel="0" collapsed="false">
      <c r="A257" s="21"/>
      <c r="B257" s="17"/>
      <c r="C257" s="17"/>
      <c r="D257" s="12"/>
      <c r="E257" s="17"/>
      <c r="F257" s="12"/>
      <c r="G257" s="12"/>
      <c r="H257" s="22" t="str">
        <f aca="false">IF(A257="","",A257+7)</f>
        <v/>
      </c>
      <c r="I257" s="17"/>
    </row>
    <row r="258" customFormat="false" ht="15" hidden="false" customHeight="false" outlineLevel="0" collapsed="false">
      <c r="A258" s="21"/>
      <c r="B258" s="17"/>
      <c r="C258" s="17"/>
      <c r="D258" s="12"/>
      <c r="E258" s="17"/>
      <c r="F258" s="12"/>
      <c r="G258" s="12"/>
      <c r="H258" s="22" t="str">
        <f aca="false">IF(A258="","",A258+7)</f>
        <v/>
      </c>
      <c r="I258" s="17"/>
    </row>
    <row r="259" customFormat="false" ht="15" hidden="false" customHeight="false" outlineLevel="0" collapsed="false">
      <c r="A259" s="21"/>
      <c r="B259" s="17"/>
      <c r="C259" s="17"/>
      <c r="D259" s="12"/>
      <c r="E259" s="17"/>
      <c r="F259" s="12"/>
      <c r="G259" s="12"/>
      <c r="H259" s="22" t="str">
        <f aca="false">IF(A259="","",A259+7)</f>
        <v/>
      </c>
      <c r="I259" s="17"/>
    </row>
    <row r="260" customFormat="false" ht="15" hidden="false" customHeight="false" outlineLevel="0" collapsed="false">
      <c r="A260" s="21"/>
      <c r="B260" s="17"/>
      <c r="C260" s="17"/>
      <c r="D260" s="12"/>
      <c r="E260" s="17"/>
      <c r="F260" s="12"/>
      <c r="G260" s="12"/>
      <c r="H260" s="22" t="str">
        <f aca="false">IF(A260="","",A260+7)</f>
        <v/>
      </c>
      <c r="I260" s="17"/>
    </row>
    <row r="261" customFormat="false" ht="15" hidden="false" customHeight="false" outlineLevel="0" collapsed="false">
      <c r="A261" s="21"/>
      <c r="B261" s="17"/>
      <c r="C261" s="17"/>
      <c r="D261" s="12"/>
      <c r="E261" s="17"/>
      <c r="F261" s="12"/>
      <c r="G261" s="12"/>
      <c r="H261" s="22" t="str">
        <f aca="false">IF(A261="","",A261+7)</f>
        <v/>
      </c>
      <c r="I261" s="17"/>
    </row>
    <row r="262" customFormat="false" ht="15" hidden="false" customHeight="false" outlineLevel="0" collapsed="false">
      <c r="A262" s="21"/>
      <c r="B262" s="17"/>
      <c r="C262" s="17"/>
      <c r="D262" s="12"/>
      <c r="E262" s="17"/>
      <c r="F262" s="12"/>
      <c r="G262" s="12"/>
      <c r="H262" s="22" t="str">
        <f aca="false">IF(A262="","",A262+7)</f>
        <v/>
      </c>
      <c r="I262" s="17"/>
    </row>
    <row r="263" customFormat="false" ht="15" hidden="false" customHeight="false" outlineLevel="0" collapsed="false">
      <c r="A263" s="21"/>
      <c r="B263" s="17"/>
      <c r="C263" s="17"/>
      <c r="D263" s="12"/>
      <c r="E263" s="17"/>
      <c r="F263" s="12"/>
      <c r="G263" s="12"/>
      <c r="H263" s="22" t="str">
        <f aca="false">IF(A263="","",A263+7)</f>
        <v/>
      </c>
      <c r="I263" s="17"/>
    </row>
    <row r="264" customFormat="false" ht="15" hidden="false" customHeight="false" outlineLevel="0" collapsed="false">
      <c r="A264" s="21"/>
      <c r="B264" s="17"/>
      <c r="C264" s="17"/>
      <c r="D264" s="12"/>
      <c r="E264" s="17"/>
      <c r="F264" s="12"/>
      <c r="G264" s="12"/>
      <c r="H264" s="22" t="str">
        <f aca="false">IF(A264="","",A264+7)</f>
        <v/>
      </c>
      <c r="I264" s="17"/>
    </row>
    <row r="265" customFormat="false" ht="15" hidden="false" customHeight="false" outlineLevel="0" collapsed="false">
      <c r="A265" s="21"/>
      <c r="B265" s="17"/>
      <c r="C265" s="17"/>
      <c r="D265" s="12"/>
      <c r="E265" s="17"/>
      <c r="F265" s="12"/>
      <c r="G265" s="12"/>
      <c r="H265" s="22" t="str">
        <f aca="false">IF(A265="","",A265+7)</f>
        <v/>
      </c>
      <c r="I265" s="17"/>
    </row>
    <row r="266" customFormat="false" ht="15" hidden="false" customHeight="false" outlineLevel="0" collapsed="false">
      <c r="A266" s="21"/>
      <c r="B266" s="17"/>
      <c r="C266" s="17"/>
      <c r="D266" s="12"/>
      <c r="E266" s="17"/>
      <c r="F266" s="12"/>
      <c r="G266" s="12"/>
      <c r="H266" s="22" t="str">
        <f aca="false">IF(A266="","",A266+7)</f>
        <v/>
      </c>
      <c r="I266" s="17"/>
    </row>
    <row r="267" customFormat="false" ht="15" hidden="false" customHeight="false" outlineLevel="0" collapsed="false">
      <c r="A267" s="21"/>
      <c r="B267" s="17"/>
      <c r="C267" s="17"/>
      <c r="D267" s="12"/>
      <c r="E267" s="17"/>
      <c r="F267" s="12"/>
      <c r="G267" s="12"/>
      <c r="H267" s="22" t="str">
        <f aca="false">IF(A267="","",A267+7)</f>
        <v/>
      </c>
      <c r="I267" s="17"/>
    </row>
    <row r="268" customFormat="false" ht="15" hidden="false" customHeight="false" outlineLevel="0" collapsed="false">
      <c r="A268" s="21"/>
      <c r="B268" s="17"/>
      <c r="C268" s="17"/>
      <c r="D268" s="12"/>
      <c r="E268" s="17"/>
      <c r="F268" s="12"/>
      <c r="G268" s="12"/>
      <c r="H268" s="22" t="str">
        <f aca="false">IF(A268="","",A268+7)</f>
        <v/>
      </c>
      <c r="I268" s="17"/>
    </row>
    <row r="269" customFormat="false" ht="15" hidden="false" customHeight="false" outlineLevel="0" collapsed="false">
      <c r="A269" s="21"/>
      <c r="B269" s="17"/>
      <c r="C269" s="17"/>
      <c r="D269" s="12"/>
      <c r="E269" s="17"/>
      <c r="F269" s="12"/>
      <c r="G269" s="12"/>
      <c r="H269" s="22" t="str">
        <f aca="false">IF(A269="","",A269+7)</f>
        <v/>
      </c>
      <c r="I269" s="17"/>
    </row>
    <row r="270" customFormat="false" ht="15" hidden="false" customHeight="false" outlineLevel="0" collapsed="false">
      <c r="A270" s="21"/>
      <c r="B270" s="17"/>
      <c r="C270" s="17"/>
      <c r="D270" s="12"/>
      <c r="E270" s="17"/>
      <c r="F270" s="12"/>
      <c r="G270" s="12"/>
      <c r="H270" s="22" t="str">
        <f aca="false">IF(A270="","",A270+7)</f>
        <v/>
      </c>
      <c r="I270" s="17"/>
    </row>
    <row r="271" customFormat="false" ht="15" hidden="false" customHeight="false" outlineLevel="0" collapsed="false">
      <c r="A271" s="21"/>
      <c r="B271" s="17"/>
      <c r="C271" s="17"/>
      <c r="D271" s="12"/>
      <c r="E271" s="17"/>
      <c r="F271" s="12"/>
      <c r="G271" s="12"/>
      <c r="H271" s="22" t="str">
        <f aca="false">IF(A271="","",A271+7)</f>
        <v/>
      </c>
      <c r="I271" s="17"/>
    </row>
    <row r="272" customFormat="false" ht="15" hidden="false" customHeight="false" outlineLevel="0" collapsed="false">
      <c r="A272" s="21"/>
      <c r="B272" s="17"/>
      <c r="C272" s="17"/>
      <c r="D272" s="12"/>
      <c r="E272" s="17"/>
      <c r="F272" s="12"/>
      <c r="G272" s="12"/>
      <c r="H272" s="22" t="str">
        <f aca="false">IF(A272="","",A272+7)</f>
        <v/>
      </c>
      <c r="I272" s="17"/>
    </row>
    <row r="273" customFormat="false" ht="15" hidden="false" customHeight="false" outlineLevel="0" collapsed="false">
      <c r="A273" s="21"/>
      <c r="B273" s="17"/>
      <c r="C273" s="17"/>
      <c r="D273" s="12"/>
      <c r="E273" s="17"/>
      <c r="F273" s="12"/>
      <c r="G273" s="12"/>
      <c r="H273" s="22" t="str">
        <f aca="false">IF(A273="","",A273+7)</f>
        <v/>
      </c>
      <c r="I273" s="17"/>
    </row>
    <row r="274" customFormat="false" ht="15" hidden="false" customHeight="false" outlineLevel="0" collapsed="false">
      <c r="A274" s="21"/>
      <c r="B274" s="17"/>
      <c r="C274" s="17"/>
      <c r="D274" s="12"/>
      <c r="E274" s="17"/>
      <c r="F274" s="12"/>
      <c r="G274" s="12"/>
      <c r="H274" s="22" t="str">
        <f aca="false">IF(A274="","",A274+7)</f>
        <v/>
      </c>
      <c r="I274" s="17"/>
    </row>
    <row r="275" customFormat="false" ht="15" hidden="false" customHeight="false" outlineLevel="0" collapsed="false">
      <c r="A275" s="21"/>
      <c r="B275" s="17"/>
      <c r="C275" s="17"/>
      <c r="D275" s="12"/>
      <c r="E275" s="17"/>
      <c r="F275" s="12"/>
      <c r="G275" s="12"/>
      <c r="H275" s="22" t="str">
        <f aca="false">IF(A275="","",A275+7)</f>
        <v/>
      </c>
      <c r="I275" s="17"/>
    </row>
    <row r="276" customFormat="false" ht="15" hidden="false" customHeight="false" outlineLevel="0" collapsed="false">
      <c r="A276" s="21"/>
      <c r="B276" s="17"/>
      <c r="C276" s="17"/>
      <c r="D276" s="12"/>
      <c r="E276" s="17"/>
      <c r="F276" s="12"/>
      <c r="G276" s="12"/>
      <c r="H276" s="22" t="str">
        <f aca="false">IF(A276="","",A276+7)</f>
        <v/>
      </c>
      <c r="I276" s="17"/>
    </row>
    <row r="277" customFormat="false" ht="15" hidden="false" customHeight="false" outlineLevel="0" collapsed="false">
      <c r="A277" s="21"/>
      <c r="B277" s="17"/>
      <c r="C277" s="17"/>
      <c r="D277" s="12"/>
      <c r="E277" s="17"/>
      <c r="F277" s="12"/>
      <c r="G277" s="12"/>
      <c r="H277" s="22" t="str">
        <f aca="false">IF(A277="","",A277+7)</f>
        <v/>
      </c>
      <c r="I277" s="17"/>
    </row>
    <row r="278" customFormat="false" ht="15" hidden="false" customHeight="false" outlineLevel="0" collapsed="false">
      <c r="A278" s="21"/>
      <c r="B278" s="17"/>
      <c r="C278" s="17"/>
      <c r="D278" s="12"/>
      <c r="E278" s="17"/>
      <c r="F278" s="12"/>
      <c r="G278" s="12"/>
      <c r="H278" s="22" t="str">
        <f aca="false">IF(A278="","",A278+7)</f>
        <v/>
      </c>
      <c r="I278" s="17"/>
    </row>
    <row r="279" customFormat="false" ht="15" hidden="false" customHeight="false" outlineLevel="0" collapsed="false">
      <c r="A279" s="21"/>
      <c r="B279" s="17"/>
      <c r="C279" s="17"/>
      <c r="D279" s="12"/>
      <c r="E279" s="17"/>
      <c r="F279" s="12"/>
      <c r="G279" s="12"/>
      <c r="H279" s="22" t="str">
        <f aca="false">IF(A279="","",A279+7)</f>
        <v/>
      </c>
      <c r="I279" s="17"/>
    </row>
    <row r="280" customFormat="false" ht="15" hidden="false" customHeight="false" outlineLevel="0" collapsed="false">
      <c r="A280" s="21"/>
      <c r="B280" s="17"/>
      <c r="C280" s="17"/>
      <c r="D280" s="12"/>
      <c r="E280" s="17"/>
      <c r="F280" s="12"/>
      <c r="G280" s="12"/>
      <c r="H280" s="22" t="str">
        <f aca="false">IF(A280="","",A280+7)</f>
        <v/>
      </c>
      <c r="I280" s="17"/>
    </row>
    <row r="281" customFormat="false" ht="15" hidden="false" customHeight="false" outlineLevel="0" collapsed="false">
      <c r="A281" s="21"/>
      <c r="B281" s="17"/>
      <c r="C281" s="17"/>
      <c r="D281" s="12"/>
      <c r="E281" s="17"/>
      <c r="F281" s="12"/>
      <c r="G281" s="12"/>
      <c r="H281" s="22" t="str">
        <f aca="false">IF(A281="","",A281+7)</f>
        <v/>
      </c>
      <c r="I281" s="17"/>
    </row>
    <row r="282" customFormat="false" ht="15" hidden="false" customHeight="false" outlineLevel="0" collapsed="false">
      <c r="A282" s="21"/>
      <c r="B282" s="17"/>
      <c r="C282" s="17"/>
      <c r="D282" s="12"/>
      <c r="E282" s="17"/>
      <c r="F282" s="12"/>
      <c r="G282" s="12"/>
      <c r="H282" s="22" t="str">
        <f aca="false">IF(A282="","",A282+7)</f>
        <v/>
      </c>
      <c r="I282" s="17"/>
    </row>
    <row r="283" customFormat="false" ht="15" hidden="false" customHeight="false" outlineLevel="0" collapsed="false">
      <c r="A283" s="21"/>
      <c r="B283" s="17"/>
      <c r="C283" s="17"/>
      <c r="D283" s="12"/>
      <c r="E283" s="17"/>
      <c r="F283" s="12"/>
      <c r="G283" s="12"/>
      <c r="H283" s="22" t="str">
        <f aca="false">IF(A283="","",A283+7)</f>
        <v/>
      </c>
      <c r="I283" s="17"/>
    </row>
    <row r="284" customFormat="false" ht="15" hidden="false" customHeight="false" outlineLevel="0" collapsed="false">
      <c r="A284" s="21"/>
      <c r="B284" s="17"/>
      <c r="C284" s="17"/>
      <c r="D284" s="12"/>
      <c r="E284" s="17"/>
      <c r="F284" s="12"/>
      <c r="G284" s="12"/>
      <c r="H284" s="22" t="str">
        <f aca="false">IF(A284="","",A284+7)</f>
        <v/>
      </c>
      <c r="I284" s="17"/>
    </row>
    <row r="285" customFormat="false" ht="15" hidden="false" customHeight="false" outlineLevel="0" collapsed="false">
      <c r="A285" s="21"/>
      <c r="B285" s="17"/>
      <c r="C285" s="17"/>
      <c r="D285" s="12"/>
      <c r="E285" s="17"/>
      <c r="F285" s="12"/>
      <c r="G285" s="12"/>
      <c r="H285" s="22" t="str">
        <f aca="false">IF(A285="","",A285+7)</f>
        <v/>
      </c>
      <c r="I285" s="17"/>
    </row>
    <row r="286" customFormat="false" ht="15" hidden="false" customHeight="false" outlineLevel="0" collapsed="false">
      <c r="A286" s="21"/>
      <c r="B286" s="17"/>
      <c r="C286" s="17"/>
      <c r="D286" s="12"/>
      <c r="E286" s="17"/>
      <c r="F286" s="12"/>
      <c r="G286" s="12"/>
      <c r="H286" s="22" t="str">
        <f aca="false">IF(A286="","",A286+7)</f>
        <v/>
      </c>
      <c r="I286" s="17"/>
    </row>
    <row r="287" customFormat="false" ht="15" hidden="false" customHeight="false" outlineLevel="0" collapsed="false">
      <c r="A287" s="21"/>
      <c r="B287" s="17"/>
      <c r="C287" s="17"/>
      <c r="D287" s="12"/>
      <c r="E287" s="17"/>
      <c r="F287" s="12"/>
      <c r="G287" s="12"/>
      <c r="H287" s="22" t="str">
        <f aca="false">IF(A287="","",A287+7)</f>
        <v/>
      </c>
      <c r="I287" s="17"/>
    </row>
    <row r="288" customFormat="false" ht="15" hidden="false" customHeight="false" outlineLevel="0" collapsed="false">
      <c r="A288" s="21"/>
      <c r="B288" s="17"/>
      <c r="C288" s="17"/>
      <c r="D288" s="12"/>
      <c r="E288" s="17"/>
      <c r="F288" s="12"/>
      <c r="G288" s="12"/>
      <c r="H288" s="22" t="str">
        <f aca="false">IF(A288="","",A288+7)</f>
        <v/>
      </c>
      <c r="I288" s="17"/>
    </row>
    <row r="289" customFormat="false" ht="15" hidden="false" customHeight="false" outlineLevel="0" collapsed="false">
      <c r="A289" s="21"/>
      <c r="B289" s="17"/>
      <c r="C289" s="17"/>
      <c r="D289" s="12"/>
      <c r="E289" s="17"/>
      <c r="F289" s="12"/>
      <c r="G289" s="12"/>
      <c r="H289" s="22" t="str">
        <f aca="false">IF(A289="","",A289+7)</f>
        <v/>
      </c>
      <c r="I289" s="17"/>
    </row>
    <row r="290" customFormat="false" ht="15" hidden="false" customHeight="false" outlineLevel="0" collapsed="false">
      <c r="A290" s="21"/>
      <c r="B290" s="17"/>
      <c r="C290" s="17"/>
      <c r="D290" s="12"/>
      <c r="E290" s="17"/>
      <c r="F290" s="12"/>
      <c r="G290" s="12"/>
      <c r="H290" s="22" t="str">
        <f aca="false">IF(A290="","",A290+7)</f>
        <v/>
      </c>
      <c r="I290" s="17"/>
    </row>
    <row r="291" customFormat="false" ht="15" hidden="false" customHeight="false" outlineLevel="0" collapsed="false">
      <c r="A291" s="21"/>
      <c r="B291" s="17"/>
      <c r="C291" s="17"/>
      <c r="D291" s="12"/>
      <c r="E291" s="17"/>
      <c r="F291" s="12"/>
      <c r="G291" s="12"/>
      <c r="H291" s="22" t="str">
        <f aca="false">IF(A291="","",A291+7)</f>
        <v/>
      </c>
      <c r="I291" s="17"/>
    </row>
    <row r="292" customFormat="false" ht="15" hidden="false" customHeight="false" outlineLevel="0" collapsed="false">
      <c r="A292" s="21"/>
      <c r="B292" s="17"/>
      <c r="C292" s="17"/>
      <c r="D292" s="12"/>
      <c r="E292" s="17"/>
      <c r="F292" s="12"/>
      <c r="G292" s="12"/>
      <c r="H292" s="22" t="str">
        <f aca="false">IF(A292="","",A292+7)</f>
        <v/>
      </c>
      <c r="I292" s="17"/>
    </row>
    <row r="293" customFormat="false" ht="15" hidden="false" customHeight="false" outlineLevel="0" collapsed="false">
      <c r="A293" s="21"/>
      <c r="B293" s="17"/>
      <c r="C293" s="17"/>
      <c r="D293" s="12"/>
      <c r="E293" s="17"/>
      <c r="F293" s="12"/>
      <c r="G293" s="12"/>
      <c r="H293" s="22" t="str">
        <f aca="false">IF(A293="","",A293+7)</f>
        <v/>
      </c>
      <c r="I293" s="17"/>
    </row>
    <row r="294" customFormat="false" ht="15" hidden="false" customHeight="false" outlineLevel="0" collapsed="false">
      <c r="A294" s="21"/>
      <c r="B294" s="17"/>
      <c r="C294" s="17"/>
      <c r="D294" s="12"/>
      <c r="E294" s="17"/>
      <c r="F294" s="12"/>
      <c r="G294" s="12"/>
      <c r="H294" s="22" t="str">
        <f aca="false">IF(A294="","",A294+7)</f>
        <v/>
      </c>
      <c r="I294" s="17"/>
    </row>
    <row r="295" customFormat="false" ht="15" hidden="false" customHeight="false" outlineLevel="0" collapsed="false">
      <c r="A295" s="21"/>
      <c r="B295" s="17"/>
      <c r="C295" s="17"/>
      <c r="D295" s="12"/>
      <c r="E295" s="17"/>
      <c r="F295" s="12"/>
      <c r="G295" s="12"/>
      <c r="H295" s="22" t="str">
        <f aca="false">IF(A295="","",A295+7)</f>
        <v/>
      </c>
      <c r="I295" s="17"/>
    </row>
    <row r="296" customFormat="false" ht="15" hidden="false" customHeight="false" outlineLevel="0" collapsed="false">
      <c r="A296" s="21"/>
      <c r="B296" s="17"/>
      <c r="C296" s="17"/>
      <c r="D296" s="12"/>
      <c r="E296" s="17"/>
      <c r="F296" s="12"/>
      <c r="G296" s="12"/>
      <c r="H296" s="22" t="str">
        <f aca="false">IF(A296="","",A296+7)</f>
        <v/>
      </c>
      <c r="I296" s="17"/>
    </row>
    <row r="297" customFormat="false" ht="15" hidden="false" customHeight="false" outlineLevel="0" collapsed="false">
      <c r="A297" s="21"/>
      <c r="B297" s="17"/>
      <c r="C297" s="17"/>
      <c r="D297" s="12"/>
      <c r="E297" s="17"/>
      <c r="F297" s="12"/>
      <c r="G297" s="12"/>
      <c r="H297" s="22" t="str">
        <f aca="false">IF(A297="","",A297+7)</f>
        <v/>
      </c>
      <c r="I297" s="17"/>
    </row>
    <row r="298" customFormat="false" ht="15" hidden="false" customHeight="false" outlineLevel="0" collapsed="false">
      <c r="A298" s="21"/>
      <c r="B298" s="17"/>
      <c r="C298" s="17"/>
      <c r="D298" s="12"/>
      <c r="E298" s="17"/>
      <c r="F298" s="12"/>
      <c r="G298" s="12"/>
      <c r="H298" s="22" t="str">
        <f aca="false">IF(A298="","",A298+7)</f>
        <v/>
      </c>
      <c r="I298" s="17"/>
    </row>
    <row r="299" customFormat="false" ht="15" hidden="false" customHeight="false" outlineLevel="0" collapsed="false">
      <c r="A299" s="21"/>
      <c r="B299" s="17"/>
      <c r="C299" s="17"/>
      <c r="D299" s="12"/>
      <c r="E299" s="17"/>
      <c r="F299" s="12"/>
      <c r="G299" s="12"/>
      <c r="H299" s="22" t="str">
        <f aca="false">IF(A299="","",A299+7)</f>
        <v/>
      </c>
      <c r="I299" s="17"/>
    </row>
    <row r="300" customFormat="false" ht="15" hidden="false" customHeight="false" outlineLevel="0" collapsed="false">
      <c r="A300" s="21"/>
      <c r="B300" s="17"/>
      <c r="C300" s="17"/>
      <c r="D300" s="12"/>
      <c r="E300" s="17"/>
      <c r="F300" s="12"/>
      <c r="G300" s="12"/>
      <c r="H300" s="22" t="str">
        <f aca="false">IF(A300="","",A300+7)</f>
        <v/>
      </c>
      <c r="I300" s="17"/>
    </row>
    <row r="301" customFormat="false" ht="15" hidden="false" customHeight="false" outlineLevel="0" collapsed="false">
      <c r="A301" s="21"/>
      <c r="B301" s="17"/>
      <c r="C301" s="17"/>
      <c r="D301" s="12"/>
      <c r="E301" s="17"/>
      <c r="F301" s="12"/>
      <c r="G301" s="12"/>
      <c r="H301" s="22" t="str">
        <f aca="false">IF(A301="","",A301+7)</f>
        <v/>
      </c>
      <c r="I301" s="17"/>
    </row>
    <row r="302" customFormat="false" ht="15" hidden="false" customHeight="false" outlineLevel="0" collapsed="false">
      <c r="A302" s="21"/>
      <c r="B302" s="17"/>
      <c r="C302" s="17"/>
      <c r="D302" s="12"/>
      <c r="E302" s="17"/>
      <c r="F302" s="12"/>
      <c r="G302" s="12"/>
      <c r="H302" s="22" t="str">
        <f aca="false">IF(A302="","",A302+7)</f>
        <v/>
      </c>
      <c r="I302" s="17"/>
    </row>
    <row r="303" customFormat="false" ht="15" hidden="false" customHeight="false" outlineLevel="0" collapsed="false">
      <c r="A303" s="21"/>
      <c r="B303" s="17"/>
      <c r="C303" s="17"/>
      <c r="D303" s="12"/>
      <c r="E303" s="17"/>
      <c r="F303" s="12"/>
      <c r="G303" s="12"/>
      <c r="H303" s="22" t="str">
        <f aca="false">IF(A303="","",A303+7)</f>
        <v/>
      </c>
      <c r="I303" s="17"/>
    </row>
    <row r="304" customFormat="false" ht="15" hidden="false" customHeight="false" outlineLevel="0" collapsed="false">
      <c r="A304" s="21"/>
      <c r="B304" s="17"/>
      <c r="C304" s="17"/>
      <c r="D304" s="12"/>
      <c r="E304" s="17"/>
      <c r="F304" s="12"/>
      <c r="G304" s="12"/>
      <c r="H304" s="22" t="str">
        <f aca="false">IF(A304="","",A304+7)</f>
        <v/>
      </c>
      <c r="I304" s="17"/>
    </row>
    <row r="305" customFormat="false" ht="15" hidden="false" customHeight="false" outlineLevel="0" collapsed="false">
      <c r="A305" s="21"/>
      <c r="B305" s="17"/>
      <c r="C305" s="17"/>
      <c r="D305" s="12"/>
      <c r="E305" s="17"/>
      <c r="F305" s="12"/>
      <c r="G305" s="12"/>
      <c r="H305" s="22" t="str">
        <f aca="false">IF(A305="","",A305+7)</f>
        <v/>
      </c>
      <c r="I305" s="17"/>
    </row>
    <row r="306" customFormat="false" ht="15" hidden="false" customHeight="false" outlineLevel="0" collapsed="false">
      <c r="A306" s="21"/>
      <c r="B306" s="17"/>
      <c r="C306" s="17"/>
      <c r="D306" s="12"/>
      <c r="E306" s="17"/>
      <c r="F306" s="12"/>
      <c r="G306" s="12"/>
      <c r="H306" s="22" t="str">
        <f aca="false">IF(A306="","",A306+7)</f>
        <v/>
      </c>
      <c r="I306" s="17"/>
    </row>
    <row r="307" customFormat="false" ht="15" hidden="false" customHeight="false" outlineLevel="0" collapsed="false">
      <c r="A307" s="21"/>
      <c r="B307" s="17"/>
      <c r="C307" s="17"/>
      <c r="D307" s="12"/>
      <c r="E307" s="17"/>
      <c r="F307" s="12"/>
      <c r="G307" s="12"/>
      <c r="H307" s="22" t="str">
        <f aca="false">IF(A307="","",A307+7)</f>
        <v/>
      </c>
      <c r="I307" s="17"/>
    </row>
    <row r="308" customFormat="false" ht="15" hidden="false" customHeight="false" outlineLevel="0" collapsed="false">
      <c r="A308" s="21"/>
      <c r="B308" s="17"/>
      <c r="C308" s="17"/>
      <c r="D308" s="12"/>
      <c r="E308" s="17"/>
      <c r="F308" s="12"/>
      <c r="G308" s="12"/>
      <c r="H308" s="22" t="str">
        <f aca="false">IF(A308="","",A308+7)</f>
        <v/>
      </c>
      <c r="I308" s="17"/>
    </row>
    <row r="309" customFormat="false" ht="15" hidden="false" customHeight="false" outlineLevel="0" collapsed="false">
      <c r="A309" s="21"/>
      <c r="B309" s="17"/>
      <c r="C309" s="17"/>
      <c r="D309" s="12"/>
      <c r="E309" s="17"/>
      <c r="F309" s="12"/>
      <c r="G309" s="12"/>
      <c r="H309" s="22" t="str">
        <f aca="false">IF(A309="","",A309+7)</f>
        <v/>
      </c>
      <c r="I309" s="17"/>
    </row>
    <row r="310" customFormat="false" ht="15" hidden="false" customHeight="false" outlineLevel="0" collapsed="false">
      <c r="A310" s="21"/>
      <c r="B310" s="17"/>
      <c r="C310" s="17"/>
      <c r="D310" s="12"/>
      <c r="E310" s="17"/>
      <c r="F310" s="12"/>
      <c r="G310" s="12"/>
      <c r="H310" s="22" t="str">
        <f aca="false">IF(A310="","",A310+7)</f>
        <v/>
      </c>
      <c r="I310" s="17"/>
    </row>
    <row r="311" customFormat="false" ht="15" hidden="false" customHeight="false" outlineLevel="0" collapsed="false">
      <c r="A311" s="21"/>
      <c r="B311" s="17"/>
      <c r="C311" s="17"/>
      <c r="D311" s="12"/>
      <c r="E311" s="17"/>
      <c r="F311" s="12"/>
      <c r="G311" s="12"/>
      <c r="H311" s="22" t="str">
        <f aca="false">IF(A311="","",A311+7)</f>
        <v/>
      </c>
      <c r="I311" s="17"/>
    </row>
    <row r="312" customFormat="false" ht="15" hidden="false" customHeight="false" outlineLevel="0" collapsed="false">
      <c r="A312" s="21"/>
      <c r="B312" s="17"/>
      <c r="C312" s="17"/>
      <c r="D312" s="12"/>
      <c r="E312" s="17"/>
      <c r="F312" s="12"/>
      <c r="G312" s="12"/>
      <c r="H312" s="22" t="str">
        <f aca="false">IF(A312="","",A312+7)</f>
        <v/>
      </c>
      <c r="I312" s="17"/>
    </row>
    <row r="313" customFormat="false" ht="15" hidden="false" customHeight="false" outlineLevel="0" collapsed="false">
      <c r="A313" s="21"/>
      <c r="B313" s="17"/>
      <c r="C313" s="17"/>
      <c r="D313" s="12"/>
      <c r="E313" s="17"/>
      <c r="F313" s="12"/>
      <c r="G313" s="12"/>
      <c r="H313" s="22" t="str">
        <f aca="false">IF(A313="","",A313+7)</f>
        <v/>
      </c>
      <c r="I313" s="17"/>
    </row>
    <row r="314" customFormat="false" ht="15" hidden="false" customHeight="false" outlineLevel="0" collapsed="false">
      <c r="A314" s="21"/>
      <c r="B314" s="17"/>
      <c r="C314" s="17"/>
      <c r="D314" s="12"/>
      <c r="E314" s="17"/>
      <c r="F314" s="12"/>
      <c r="G314" s="12"/>
      <c r="H314" s="22" t="str">
        <f aca="false">IF(A314="","",A314+7)</f>
        <v/>
      </c>
      <c r="I314" s="17"/>
    </row>
    <row r="315" customFormat="false" ht="15" hidden="false" customHeight="false" outlineLevel="0" collapsed="false">
      <c r="A315" s="21"/>
      <c r="B315" s="17"/>
      <c r="C315" s="17"/>
      <c r="D315" s="12"/>
      <c r="E315" s="17"/>
      <c r="F315" s="12"/>
      <c r="G315" s="12"/>
      <c r="H315" s="22" t="str">
        <f aca="false">IF(A315="","",A315+7)</f>
        <v/>
      </c>
      <c r="I315" s="17"/>
    </row>
    <row r="316" customFormat="false" ht="15" hidden="false" customHeight="false" outlineLevel="0" collapsed="false">
      <c r="A316" s="21"/>
      <c r="B316" s="17"/>
      <c r="C316" s="17"/>
      <c r="D316" s="12"/>
      <c r="E316" s="17"/>
      <c r="F316" s="12"/>
      <c r="G316" s="12"/>
      <c r="H316" s="22" t="str">
        <f aca="false">IF(A316="","",A316+7)</f>
        <v/>
      </c>
      <c r="I316" s="17"/>
    </row>
    <row r="317" customFormat="false" ht="15" hidden="false" customHeight="false" outlineLevel="0" collapsed="false">
      <c r="A317" s="21"/>
      <c r="B317" s="17"/>
      <c r="C317" s="17"/>
      <c r="D317" s="12"/>
      <c r="E317" s="17"/>
      <c r="F317" s="12"/>
      <c r="G317" s="12"/>
      <c r="H317" s="22" t="str">
        <f aca="false">IF(A317="","",A317+7)</f>
        <v/>
      </c>
      <c r="I317" s="17"/>
    </row>
    <row r="318" customFormat="false" ht="15" hidden="false" customHeight="false" outlineLevel="0" collapsed="false">
      <c r="A318" s="21"/>
      <c r="B318" s="17"/>
      <c r="C318" s="17"/>
      <c r="D318" s="12"/>
      <c r="E318" s="17"/>
      <c r="F318" s="12"/>
      <c r="G318" s="12"/>
      <c r="H318" s="22" t="str">
        <f aca="false">IF(A318="","",A318+7)</f>
        <v/>
      </c>
      <c r="I318" s="17"/>
    </row>
    <row r="319" customFormat="false" ht="15" hidden="false" customHeight="false" outlineLevel="0" collapsed="false">
      <c r="A319" s="21"/>
      <c r="B319" s="17"/>
      <c r="C319" s="17"/>
      <c r="D319" s="12"/>
      <c r="E319" s="17"/>
      <c r="F319" s="12"/>
      <c r="G319" s="12"/>
      <c r="H319" s="22" t="str">
        <f aca="false">IF(A319="","",A319+7)</f>
        <v/>
      </c>
      <c r="I319" s="17"/>
    </row>
    <row r="320" customFormat="false" ht="15" hidden="false" customHeight="false" outlineLevel="0" collapsed="false">
      <c r="A320" s="21"/>
      <c r="B320" s="17"/>
      <c r="C320" s="17"/>
      <c r="D320" s="12"/>
      <c r="E320" s="17"/>
      <c r="F320" s="12"/>
      <c r="G320" s="12"/>
      <c r="H320" s="22" t="str">
        <f aca="false">IF(A320="","",A320+7)</f>
        <v/>
      </c>
      <c r="I320" s="17"/>
    </row>
    <row r="321" customFormat="false" ht="15" hidden="false" customHeight="false" outlineLevel="0" collapsed="false">
      <c r="A321" s="21"/>
      <c r="B321" s="17"/>
      <c r="C321" s="17"/>
      <c r="D321" s="12"/>
      <c r="E321" s="17"/>
      <c r="F321" s="12"/>
      <c r="G321" s="12"/>
      <c r="H321" s="22" t="str">
        <f aca="false">IF(A321="","",A321+7)</f>
        <v/>
      </c>
      <c r="I321" s="17"/>
    </row>
    <row r="322" customFormat="false" ht="15" hidden="false" customHeight="false" outlineLevel="0" collapsed="false">
      <c r="A322" s="21"/>
      <c r="B322" s="17"/>
      <c r="C322" s="17"/>
      <c r="D322" s="12"/>
      <c r="E322" s="17"/>
      <c r="F322" s="12"/>
      <c r="G322" s="12"/>
      <c r="H322" s="22" t="str">
        <f aca="false">IF(A322="","",A322+7)</f>
        <v/>
      </c>
      <c r="I322" s="17"/>
    </row>
    <row r="323" customFormat="false" ht="15" hidden="false" customHeight="false" outlineLevel="0" collapsed="false">
      <c r="A323" s="21"/>
      <c r="B323" s="17"/>
      <c r="C323" s="17"/>
      <c r="D323" s="12"/>
      <c r="E323" s="17"/>
      <c r="F323" s="12"/>
      <c r="G323" s="12"/>
      <c r="H323" s="22" t="str">
        <f aca="false">IF(A323="","",A323+7)</f>
        <v/>
      </c>
      <c r="I323" s="17"/>
    </row>
    <row r="324" customFormat="false" ht="15" hidden="false" customHeight="false" outlineLevel="0" collapsed="false">
      <c r="A324" s="21"/>
      <c r="B324" s="17"/>
      <c r="C324" s="17"/>
      <c r="D324" s="12"/>
      <c r="E324" s="17"/>
      <c r="F324" s="12"/>
      <c r="G324" s="12"/>
      <c r="H324" s="22" t="str">
        <f aca="false">IF(A324="","",A324+7)</f>
        <v/>
      </c>
      <c r="I324" s="17"/>
    </row>
    <row r="325" customFormat="false" ht="15" hidden="false" customHeight="false" outlineLevel="0" collapsed="false">
      <c r="A325" s="21"/>
      <c r="B325" s="17"/>
      <c r="C325" s="17"/>
      <c r="D325" s="12"/>
      <c r="E325" s="17"/>
      <c r="F325" s="12"/>
      <c r="G325" s="12"/>
      <c r="H325" s="22" t="str">
        <f aca="false">IF(A325="","",A325+7)</f>
        <v/>
      </c>
      <c r="I325" s="17"/>
    </row>
    <row r="326" customFormat="false" ht="15" hidden="false" customHeight="false" outlineLevel="0" collapsed="false">
      <c r="A326" s="21"/>
      <c r="B326" s="17"/>
      <c r="C326" s="17"/>
      <c r="D326" s="12"/>
      <c r="E326" s="17"/>
      <c r="F326" s="12"/>
      <c r="G326" s="12"/>
      <c r="H326" s="22" t="str">
        <f aca="false">IF(A326="","",A326+7)</f>
        <v/>
      </c>
      <c r="I326" s="17"/>
    </row>
    <row r="327" customFormat="false" ht="15" hidden="false" customHeight="false" outlineLevel="0" collapsed="false">
      <c r="A327" s="21"/>
      <c r="B327" s="17"/>
      <c r="C327" s="17"/>
      <c r="D327" s="12"/>
      <c r="E327" s="17"/>
      <c r="F327" s="12"/>
      <c r="G327" s="12"/>
      <c r="H327" s="22" t="str">
        <f aca="false">IF(A327="","",A327+7)</f>
        <v/>
      </c>
      <c r="I327" s="17"/>
    </row>
    <row r="328" customFormat="false" ht="15" hidden="false" customHeight="false" outlineLevel="0" collapsed="false">
      <c r="A328" s="21"/>
      <c r="B328" s="17"/>
      <c r="C328" s="17"/>
      <c r="D328" s="12"/>
      <c r="E328" s="17"/>
      <c r="F328" s="12"/>
      <c r="G328" s="12"/>
      <c r="H328" s="22" t="str">
        <f aca="false">IF(A328="","",A328+7)</f>
        <v/>
      </c>
      <c r="I328" s="17"/>
    </row>
    <row r="329" customFormat="false" ht="15" hidden="false" customHeight="false" outlineLevel="0" collapsed="false">
      <c r="A329" s="21"/>
      <c r="B329" s="17"/>
      <c r="C329" s="17"/>
      <c r="D329" s="12"/>
      <c r="E329" s="17"/>
      <c r="F329" s="12"/>
      <c r="G329" s="12"/>
      <c r="H329" s="22" t="str">
        <f aca="false">IF(A329="","",A329+7)</f>
        <v/>
      </c>
      <c r="I329" s="17"/>
    </row>
    <row r="330" customFormat="false" ht="15" hidden="false" customHeight="false" outlineLevel="0" collapsed="false">
      <c r="A330" s="21"/>
      <c r="B330" s="17"/>
      <c r="C330" s="17"/>
      <c r="D330" s="12"/>
      <c r="E330" s="17"/>
      <c r="F330" s="12"/>
      <c r="G330" s="12"/>
      <c r="H330" s="22" t="str">
        <f aca="false">IF(A330="","",A330+7)</f>
        <v/>
      </c>
      <c r="I330" s="17"/>
    </row>
    <row r="331" customFormat="false" ht="15" hidden="false" customHeight="false" outlineLevel="0" collapsed="false">
      <c r="A331" s="21"/>
      <c r="B331" s="17"/>
      <c r="C331" s="17"/>
      <c r="D331" s="12"/>
      <c r="E331" s="17"/>
      <c r="F331" s="12"/>
      <c r="G331" s="12"/>
      <c r="H331" s="22" t="str">
        <f aca="false">IF(A331="","",A331+7)</f>
        <v/>
      </c>
      <c r="I331" s="17"/>
    </row>
    <row r="332" customFormat="false" ht="15" hidden="false" customHeight="false" outlineLevel="0" collapsed="false">
      <c r="A332" s="21"/>
      <c r="B332" s="17"/>
      <c r="C332" s="17"/>
      <c r="D332" s="12"/>
      <c r="E332" s="17"/>
      <c r="F332" s="12"/>
      <c r="G332" s="12"/>
      <c r="H332" s="22" t="str">
        <f aca="false">IF(A332="","",A332+7)</f>
        <v/>
      </c>
      <c r="I332" s="17"/>
    </row>
    <row r="333" customFormat="false" ht="15" hidden="false" customHeight="false" outlineLevel="0" collapsed="false">
      <c r="A333" s="21"/>
      <c r="B333" s="17"/>
      <c r="C333" s="17"/>
      <c r="D333" s="12"/>
      <c r="E333" s="17"/>
      <c r="F333" s="12"/>
      <c r="G333" s="12"/>
      <c r="H333" s="22" t="str">
        <f aca="false">IF(A333="","",A333+7)</f>
        <v/>
      </c>
      <c r="I333" s="17"/>
    </row>
    <row r="334" customFormat="false" ht="15" hidden="false" customHeight="false" outlineLevel="0" collapsed="false">
      <c r="A334" s="21"/>
      <c r="B334" s="17"/>
      <c r="C334" s="17"/>
      <c r="D334" s="12"/>
      <c r="E334" s="17"/>
      <c r="F334" s="12"/>
      <c r="G334" s="12"/>
      <c r="H334" s="22" t="str">
        <f aca="false">IF(A334="","",A334+7)</f>
        <v/>
      </c>
      <c r="I334" s="17"/>
    </row>
    <row r="335" customFormat="false" ht="15" hidden="false" customHeight="false" outlineLevel="0" collapsed="false">
      <c r="A335" s="21"/>
      <c r="B335" s="17"/>
      <c r="C335" s="17"/>
      <c r="D335" s="12"/>
      <c r="E335" s="17"/>
      <c r="F335" s="12"/>
      <c r="G335" s="12"/>
      <c r="H335" s="22" t="str">
        <f aca="false">IF(A335="","",A335+7)</f>
        <v/>
      </c>
      <c r="I335" s="17"/>
    </row>
    <row r="336" customFormat="false" ht="15" hidden="false" customHeight="false" outlineLevel="0" collapsed="false">
      <c r="A336" s="21"/>
      <c r="B336" s="17"/>
      <c r="C336" s="17"/>
      <c r="D336" s="12"/>
      <c r="E336" s="17"/>
      <c r="F336" s="12"/>
      <c r="G336" s="12"/>
      <c r="H336" s="22" t="str">
        <f aca="false">IF(A336="","",A336+7)</f>
        <v/>
      </c>
      <c r="I336" s="17"/>
    </row>
    <row r="337" customFormat="false" ht="15" hidden="false" customHeight="false" outlineLevel="0" collapsed="false">
      <c r="A337" s="21"/>
      <c r="B337" s="17"/>
      <c r="C337" s="17"/>
      <c r="D337" s="12"/>
      <c r="E337" s="17"/>
      <c r="F337" s="12"/>
      <c r="G337" s="12"/>
      <c r="H337" s="22" t="str">
        <f aca="false">IF(A337="","",A337+7)</f>
        <v/>
      </c>
      <c r="I337" s="17"/>
    </row>
    <row r="338" customFormat="false" ht="15" hidden="false" customHeight="false" outlineLevel="0" collapsed="false">
      <c r="A338" s="21"/>
      <c r="B338" s="17"/>
      <c r="C338" s="17"/>
      <c r="D338" s="12"/>
      <c r="E338" s="17"/>
      <c r="F338" s="12"/>
      <c r="G338" s="12"/>
      <c r="H338" s="22" t="str">
        <f aca="false">IF(A338="","",A338+7)</f>
        <v/>
      </c>
      <c r="I338" s="17"/>
    </row>
    <row r="339" customFormat="false" ht="15" hidden="false" customHeight="false" outlineLevel="0" collapsed="false">
      <c r="A339" s="21"/>
      <c r="B339" s="17"/>
      <c r="C339" s="17"/>
      <c r="D339" s="12"/>
      <c r="E339" s="17"/>
      <c r="F339" s="12"/>
      <c r="G339" s="12"/>
      <c r="H339" s="22" t="str">
        <f aca="false">IF(A339="","",A339+7)</f>
        <v/>
      </c>
      <c r="I339" s="17"/>
    </row>
    <row r="340" customFormat="false" ht="15" hidden="false" customHeight="false" outlineLevel="0" collapsed="false">
      <c r="A340" s="21"/>
      <c r="B340" s="17"/>
      <c r="C340" s="17"/>
      <c r="D340" s="12"/>
      <c r="E340" s="17"/>
      <c r="F340" s="12"/>
      <c r="G340" s="12"/>
      <c r="H340" s="22" t="str">
        <f aca="false">IF(A340="","",A340+7)</f>
        <v/>
      </c>
      <c r="I340" s="17"/>
    </row>
    <row r="341" customFormat="false" ht="15" hidden="false" customHeight="false" outlineLevel="0" collapsed="false">
      <c r="A341" s="21"/>
      <c r="B341" s="17"/>
      <c r="C341" s="17"/>
      <c r="D341" s="12"/>
      <c r="E341" s="17"/>
      <c r="F341" s="12"/>
      <c r="G341" s="12"/>
      <c r="H341" s="22" t="str">
        <f aca="false">IF(A341="","",A341+7)</f>
        <v/>
      </c>
      <c r="I341" s="17"/>
    </row>
    <row r="342" customFormat="false" ht="15" hidden="false" customHeight="false" outlineLevel="0" collapsed="false">
      <c r="A342" s="21"/>
      <c r="B342" s="17"/>
      <c r="C342" s="17"/>
      <c r="D342" s="12"/>
      <c r="E342" s="17"/>
      <c r="F342" s="12"/>
      <c r="G342" s="12"/>
      <c r="H342" s="22" t="str">
        <f aca="false">IF(A342="","",A342+7)</f>
        <v/>
      </c>
      <c r="I342" s="17"/>
    </row>
    <row r="343" customFormat="false" ht="15" hidden="false" customHeight="false" outlineLevel="0" collapsed="false">
      <c r="A343" s="21"/>
      <c r="B343" s="17"/>
      <c r="C343" s="17"/>
      <c r="D343" s="12"/>
      <c r="E343" s="17"/>
      <c r="F343" s="12"/>
      <c r="G343" s="12"/>
      <c r="H343" s="22" t="str">
        <f aca="false">IF(A343="","",A343+7)</f>
        <v/>
      </c>
      <c r="I343" s="17"/>
    </row>
    <row r="344" customFormat="false" ht="15" hidden="false" customHeight="false" outlineLevel="0" collapsed="false">
      <c r="A344" s="21"/>
      <c r="B344" s="17"/>
      <c r="C344" s="17"/>
      <c r="D344" s="12"/>
      <c r="E344" s="17"/>
      <c r="F344" s="12"/>
      <c r="G344" s="12"/>
      <c r="H344" s="22" t="str">
        <f aca="false">IF(A344="","",A344+7)</f>
        <v/>
      </c>
      <c r="I344" s="17"/>
    </row>
    <row r="345" customFormat="false" ht="15" hidden="false" customHeight="false" outlineLevel="0" collapsed="false">
      <c r="A345" s="21"/>
      <c r="B345" s="17"/>
      <c r="C345" s="17"/>
      <c r="D345" s="12"/>
      <c r="E345" s="17"/>
      <c r="F345" s="12"/>
      <c r="G345" s="12"/>
      <c r="H345" s="22" t="str">
        <f aca="false">IF(A345="","",A345+7)</f>
        <v/>
      </c>
      <c r="I345" s="17"/>
    </row>
    <row r="346" customFormat="false" ht="15" hidden="false" customHeight="false" outlineLevel="0" collapsed="false">
      <c r="A346" s="21"/>
      <c r="B346" s="17"/>
      <c r="C346" s="17"/>
      <c r="D346" s="12"/>
      <c r="E346" s="17"/>
      <c r="F346" s="12"/>
      <c r="G346" s="12"/>
      <c r="H346" s="22" t="str">
        <f aca="false">IF(A346="","",A346+7)</f>
        <v/>
      </c>
      <c r="I346" s="17"/>
    </row>
    <row r="347" customFormat="false" ht="15" hidden="false" customHeight="false" outlineLevel="0" collapsed="false">
      <c r="A347" s="21"/>
      <c r="B347" s="17"/>
      <c r="C347" s="17"/>
      <c r="D347" s="12"/>
      <c r="E347" s="17"/>
      <c r="F347" s="12"/>
      <c r="G347" s="12"/>
      <c r="H347" s="22" t="str">
        <f aca="false">IF(A347="","",A347+7)</f>
        <v/>
      </c>
      <c r="I347" s="17"/>
    </row>
    <row r="348" customFormat="false" ht="15" hidden="false" customHeight="false" outlineLevel="0" collapsed="false">
      <c r="A348" s="21"/>
      <c r="B348" s="17"/>
      <c r="C348" s="17"/>
      <c r="D348" s="12"/>
      <c r="E348" s="17"/>
      <c r="F348" s="12"/>
      <c r="G348" s="12"/>
      <c r="H348" s="22" t="str">
        <f aca="false">IF(A348="","",A348+7)</f>
        <v/>
      </c>
      <c r="I348" s="17"/>
    </row>
    <row r="349" customFormat="false" ht="15" hidden="false" customHeight="false" outlineLevel="0" collapsed="false">
      <c r="A349" s="21"/>
      <c r="B349" s="17"/>
      <c r="C349" s="17"/>
      <c r="D349" s="12"/>
      <c r="E349" s="17"/>
      <c r="F349" s="12"/>
      <c r="G349" s="12"/>
      <c r="H349" s="22" t="str">
        <f aca="false">IF(A349="","",A349+7)</f>
        <v/>
      </c>
      <c r="I349" s="17"/>
    </row>
    <row r="350" customFormat="false" ht="15" hidden="false" customHeight="false" outlineLevel="0" collapsed="false">
      <c r="A350" s="21"/>
      <c r="B350" s="17"/>
      <c r="C350" s="17"/>
      <c r="D350" s="12"/>
      <c r="E350" s="17"/>
      <c r="F350" s="12"/>
      <c r="G350" s="12"/>
      <c r="H350" s="22" t="str">
        <f aca="false">IF(A350="","",A350+7)</f>
        <v/>
      </c>
      <c r="I350" s="17"/>
    </row>
    <row r="351" customFormat="false" ht="15" hidden="false" customHeight="false" outlineLevel="0" collapsed="false">
      <c r="A351" s="21"/>
      <c r="B351" s="17"/>
      <c r="C351" s="17"/>
      <c r="D351" s="12"/>
      <c r="E351" s="17"/>
      <c r="F351" s="12"/>
      <c r="G351" s="12"/>
      <c r="H351" s="22" t="str">
        <f aca="false">IF(A351="","",A351+7)</f>
        <v/>
      </c>
      <c r="I351" s="17"/>
    </row>
    <row r="352" customFormat="false" ht="15" hidden="false" customHeight="false" outlineLevel="0" collapsed="false">
      <c r="A352" s="21"/>
      <c r="B352" s="17"/>
      <c r="C352" s="17"/>
      <c r="D352" s="12"/>
      <c r="E352" s="17"/>
      <c r="F352" s="12"/>
      <c r="G352" s="12"/>
      <c r="H352" s="22" t="str">
        <f aca="false">IF(A352="","",A352+7)</f>
        <v/>
      </c>
      <c r="I352" s="17"/>
    </row>
    <row r="353" customFormat="false" ht="15" hidden="false" customHeight="false" outlineLevel="0" collapsed="false">
      <c r="A353" s="21"/>
      <c r="B353" s="17"/>
      <c r="C353" s="17"/>
      <c r="D353" s="12"/>
      <c r="E353" s="17"/>
      <c r="F353" s="12"/>
      <c r="G353" s="12"/>
      <c r="H353" s="22" t="str">
        <f aca="false">IF(A353="","",A353+7)</f>
        <v/>
      </c>
      <c r="I353" s="17"/>
    </row>
    <row r="354" customFormat="false" ht="15" hidden="false" customHeight="false" outlineLevel="0" collapsed="false">
      <c r="A354" s="21"/>
      <c r="B354" s="17"/>
      <c r="C354" s="17"/>
      <c r="D354" s="12"/>
      <c r="E354" s="17"/>
      <c r="F354" s="12"/>
      <c r="G354" s="12"/>
      <c r="H354" s="22" t="str">
        <f aca="false">IF(A354="","",A354+7)</f>
        <v/>
      </c>
      <c r="I354" s="17"/>
    </row>
    <row r="355" customFormat="false" ht="15" hidden="false" customHeight="false" outlineLevel="0" collapsed="false">
      <c r="A355" s="21"/>
      <c r="B355" s="17"/>
      <c r="C355" s="17"/>
      <c r="D355" s="12"/>
      <c r="E355" s="17"/>
      <c r="F355" s="12"/>
      <c r="G355" s="12"/>
      <c r="H355" s="22" t="str">
        <f aca="false">IF(A355="","",A355+7)</f>
        <v/>
      </c>
      <c r="I355" s="17"/>
    </row>
    <row r="356" customFormat="false" ht="15" hidden="false" customHeight="false" outlineLevel="0" collapsed="false">
      <c r="A356" s="21"/>
      <c r="B356" s="17"/>
      <c r="C356" s="17"/>
      <c r="D356" s="12"/>
      <c r="E356" s="17"/>
      <c r="F356" s="12"/>
      <c r="G356" s="12"/>
      <c r="H356" s="22" t="str">
        <f aca="false">IF(A356="","",A356+7)</f>
        <v/>
      </c>
      <c r="I356" s="17"/>
    </row>
    <row r="357" customFormat="false" ht="15" hidden="false" customHeight="false" outlineLevel="0" collapsed="false">
      <c r="A357" s="21"/>
      <c r="B357" s="17"/>
      <c r="C357" s="17"/>
      <c r="D357" s="12"/>
      <c r="E357" s="17"/>
      <c r="F357" s="12"/>
      <c r="G357" s="12"/>
      <c r="H357" s="22" t="str">
        <f aca="false">IF(A357="","",A357+7)</f>
        <v/>
      </c>
      <c r="I357" s="17"/>
    </row>
    <row r="358" customFormat="false" ht="15" hidden="false" customHeight="false" outlineLevel="0" collapsed="false">
      <c r="A358" s="21"/>
      <c r="B358" s="17"/>
      <c r="C358" s="17"/>
      <c r="D358" s="12"/>
      <c r="E358" s="17"/>
      <c r="F358" s="12"/>
      <c r="G358" s="12"/>
      <c r="H358" s="22" t="str">
        <f aca="false">IF(A358="","",A358+7)</f>
        <v/>
      </c>
      <c r="I358" s="17"/>
    </row>
    <row r="359" customFormat="false" ht="15" hidden="false" customHeight="false" outlineLevel="0" collapsed="false">
      <c r="A359" s="21"/>
      <c r="B359" s="17"/>
      <c r="C359" s="17"/>
      <c r="D359" s="12"/>
      <c r="E359" s="17"/>
      <c r="F359" s="12"/>
      <c r="G359" s="12"/>
      <c r="H359" s="22" t="str">
        <f aca="false">IF(A359="","",A359+7)</f>
        <v/>
      </c>
      <c r="I359" s="17"/>
    </row>
    <row r="360" customFormat="false" ht="15" hidden="false" customHeight="false" outlineLevel="0" collapsed="false">
      <c r="A360" s="21"/>
      <c r="B360" s="17"/>
      <c r="C360" s="17"/>
      <c r="D360" s="12"/>
      <c r="E360" s="17"/>
      <c r="F360" s="12"/>
      <c r="G360" s="12"/>
      <c r="H360" s="22" t="str">
        <f aca="false">IF(A360="","",A360+7)</f>
        <v/>
      </c>
      <c r="I360" s="17"/>
    </row>
    <row r="361" customFormat="false" ht="15" hidden="false" customHeight="false" outlineLevel="0" collapsed="false">
      <c r="A361" s="21"/>
      <c r="B361" s="17"/>
      <c r="C361" s="17"/>
      <c r="D361" s="12"/>
      <c r="E361" s="17"/>
      <c r="F361" s="12"/>
      <c r="G361" s="12"/>
      <c r="H361" s="22" t="str">
        <f aca="false">IF(A361="","",A361+7)</f>
        <v/>
      </c>
      <c r="I361" s="17"/>
    </row>
    <row r="362" customFormat="false" ht="15" hidden="false" customHeight="false" outlineLevel="0" collapsed="false">
      <c r="A362" s="21"/>
      <c r="B362" s="17"/>
      <c r="C362" s="17"/>
      <c r="D362" s="12"/>
      <c r="E362" s="17"/>
      <c r="F362" s="12"/>
      <c r="G362" s="12"/>
      <c r="H362" s="22" t="str">
        <f aca="false">IF(A362="","",A362+7)</f>
        <v/>
      </c>
      <c r="I362" s="17"/>
    </row>
    <row r="363" customFormat="false" ht="15" hidden="false" customHeight="false" outlineLevel="0" collapsed="false">
      <c r="A363" s="21"/>
      <c r="B363" s="17"/>
      <c r="C363" s="17"/>
      <c r="D363" s="12"/>
      <c r="E363" s="17"/>
      <c r="F363" s="12"/>
      <c r="G363" s="12"/>
      <c r="H363" s="22" t="str">
        <f aca="false">IF(A363="","",A363+7)</f>
        <v/>
      </c>
      <c r="I363" s="17"/>
    </row>
    <row r="364" customFormat="false" ht="15" hidden="false" customHeight="false" outlineLevel="0" collapsed="false">
      <c r="A364" s="21"/>
      <c r="B364" s="17"/>
      <c r="C364" s="17"/>
      <c r="D364" s="12"/>
      <c r="E364" s="17"/>
      <c r="F364" s="12"/>
      <c r="G364" s="12"/>
      <c r="H364" s="22" t="str">
        <f aca="false">IF(A364="","",A364+7)</f>
        <v/>
      </c>
      <c r="I364" s="17"/>
    </row>
    <row r="365" customFormat="false" ht="15" hidden="false" customHeight="false" outlineLevel="0" collapsed="false">
      <c r="A365" s="21"/>
      <c r="B365" s="17"/>
      <c r="C365" s="17"/>
      <c r="D365" s="12"/>
      <c r="E365" s="17"/>
      <c r="F365" s="12"/>
      <c r="G365" s="12"/>
      <c r="H365" s="22" t="str">
        <f aca="false">IF(A365="","",A365+7)</f>
        <v/>
      </c>
      <c r="I365" s="17"/>
    </row>
    <row r="366" customFormat="false" ht="15" hidden="false" customHeight="false" outlineLevel="0" collapsed="false">
      <c r="A366" s="21"/>
      <c r="B366" s="17"/>
      <c r="C366" s="17"/>
      <c r="D366" s="12"/>
      <c r="E366" s="17"/>
      <c r="F366" s="12"/>
      <c r="G366" s="12"/>
      <c r="H366" s="22" t="str">
        <f aca="false">IF(A366="","",A366+7)</f>
        <v/>
      </c>
      <c r="I366" s="17"/>
    </row>
    <row r="367" customFormat="false" ht="15" hidden="false" customHeight="false" outlineLevel="0" collapsed="false">
      <c r="A367" s="21"/>
      <c r="B367" s="17"/>
      <c r="C367" s="17"/>
      <c r="D367" s="12"/>
      <c r="E367" s="17"/>
      <c r="F367" s="12"/>
      <c r="G367" s="12"/>
      <c r="H367" s="22" t="str">
        <f aca="false">IF(A367="","",A367+7)</f>
        <v/>
      </c>
      <c r="I367" s="17"/>
    </row>
    <row r="368" customFormat="false" ht="15" hidden="false" customHeight="false" outlineLevel="0" collapsed="false">
      <c r="A368" s="21"/>
      <c r="B368" s="17"/>
      <c r="C368" s="17"/>
      <c r="D368" s="12"/>
      <c r="E368" s="17"/>
      <c r="F368" s="12"/>
      <c r="G368" s="12"/>
      <c r="H368" s="22" t="str">
        <f aca="false">IF(A368="","",A368+7)</f>
        <v/>
      </c>
      <c r="I368" s="17"/>
    </row>
    <row r="369" customFormat="false" ht="15" hidden="false" customHeight="false" outlineLevel="0" collapsed="false">
      <c r="A369" s="21"/>
      <c r="B369" s="17"/>
      <c r="C369" s="17"/>
      <c r="D369" s="12"/>
      <c r="E369" s="17"/>
      <c r="F369" s="12"/>
      <c r="G369" s="12"/>
      <c r="H369" s="22" t="str">
        <f aca="false">IF(A369="","",A369+7)</f>
        <v/>
      </c>
      <c r="I369" s="17"/>
    </row>
    <row r="370" customFormat="false" ht="15" hidden="false" customHeight="false" outlineLevel="0" collapsed="false">
      <c r="A370" s="21"/>
      <c r="B370" s="17"/>
      <c r="C370" s="17"/>
      <c r="D370" s="12"/>
      <c r="E370" s="17"/>
      <c r="F370" s="12"/>
      <c r="G370" s="12"/>
      <c r="H370" s="22" t="str">
        <f aca="false">IF(A370="","",A370+7)</f>
        <v/>
      </c>
      <c r="I370" s="17"/>
    </row>
    <row r="371" customFormat="false" ht="15" hidden="false" customHeight="false" outlineLevel="0" collapsed="false">
      <c r="A371" s="21"/>
      <c r="B371" s="17"/>
      <c r="C371" s="17"/>
      <c r="D371" s="12"/>
      <c r="E371" s="17"/>
      <c r="F371" s="12"/>
      <c r="G371" s="12"/>
      <c r="H371" s="22" t="str">
        <f aca="false">IF(A371="","",A371+7)</f>
        <v/>
      </c>
      <c r="I371" s="17"/>
    </row>
    <row r="372" customFormat="false" ht="15" hidden="false" customHeight="false" outlineLevel="0" collapsed="false">
      <c r="A372" s="21"/>
      <c r="B372" s="17"/>
      <c r="C372" s="17"/>
      <c r="D372" s="12"/>
      <c r="E372" s="17"/>
      <c r="F372" s="12"/>
      <c r="G372" s="12"/>
      <c r="H372" s="22" t="str">
        <f aca="false">IF(A372="","",A372+7)</f>
        <v/>
      </c>
      <c r="I372" s="17"/>
    </row>
    <row r="373" customFormat="false" ht="15" hidden="false" customHeight="false" outlineLevel="0" collapsed="false">
      <c r="A373" s="21"/>
      <c r="B373" s="17"/>
      <c r="C373" s="17"/>
      <c r="D373" s="12"/>
      <c r="E373" s="17"/>
      <c r="F373" s="12"/>
      <c r="G373" s="12"/>
      <c r="H373" s="22" t="str">
        <f aca="false">IF(A373="","",A373+7)</f>
        <v/>
      </c>
      <c r="I373" s="17"/>
    </row>
    <row r="374" customFormat="false" ht="15" hidden="false" customHeight="false" outlineLevel="0" collapsed="false">
      <c r="A374" s="21"/>
      <c r="B374" s="17"/>
      <c r="C374" s="17"/>
      <c r="D374" s="12"/>
      <c r="E374" s="17"/>
      <c r="F374" s="12"/>
      <c r="G374" s="12"/>
      <c r="H374" s="22" t="str">
        <f aca="false">IF(A374="","",A374+7)</f>
        <v/>
      </c>
      <c r="I374" s="17"/>
    </row>
    <row r="375" customFormat="false" ht="15" hidden="false" customHeight="false" outlineLevel="0" collapsed="false">
      <c r="A375" s="21"/>
      <c r="B375" s="17"/>
      <c r="C375" s="17"/>
      <c r="D375" s="12"/>
      <c r="E375" s="17"/>
      <c r="F375" s="12"/>
      <c r="G375" s="12"/>
      <c r="H375" s="22" t="str">
        <f aca="false">IF(A375="","",A375+7)</f>
        <v/>
      </c>
      <c r="I375" s="17"/>
    </row>
    <row r="376" customFormat="false" ht="15" hidden="false" customHeight="false" outlineLevel="0" collapsed="false">
      <c r="A376" s="21"/>
      <c r="B376" s="17"/>
      <c r="C376" s="17"/>
      <c r="D376" s="12"/>
      <c r="E376" s="17"/>
      <c r="F376" s="12"/>
      <c r="G376" s="12"/>
      <c r="H376" s="22" t="str">
        <f aca="false">IF(A376="","",A376+7)</f>
        <v/>
      </c>
      <c r="I376" s="17"/>
    </row>
    <row r="377" customFormat="false" ht="15" hidden="false" customHeight="false" outlineLevel="0" collapsed="false">
      <c r="A377" s="21"/>
      <c r="B377" s="17"/>
      <c r="C377" s="17"/>
      <c r="D377" s="12"/>
      <c r="E377" s="17"/>
      <c r="F377" s="12"/>
      <c r="G377" s="12"/>
      <c r="H377" s="22" t="str">
        <f aca="false">IF(A377="","",A377+7)</f>
        <v/>
      </c>
      <c r="I377" s="17"/>
    </row>
    <row r="378" customFormat="false" ht="15" hidden="false" customHeight="false" outlineLevel="0" collapsed="false">
      <c r="A378" s="21"/>
      <c r="B378" s="17"/>
      <c r="C378" s="17"/>
      <c r="D378" s="12"/>
      <c r="E378" s="17"/>
      <c r="F378" s="12"/>
      <c r="G378" s="12"/>
      <c r="H378" s="22" t="str">
        <f aca="false">IF(A378="","",A378+7)</f>
        <v/>
      </c>
      <c r="I378" s="17"/>
    </row>
    <row r="379" customFormat="false" ht="15" hidden="false" customHeight="false" outlineLevel="0" collapsed="false">
      <c r="A379" s="21"/>
      <c r="B379" s="17"/>
      <c r="C379" s="17"/>
      <c r="D379" s="12"/>
      <c r="E379" s="17"/>
      <c r="F379" s="12"/>
      <c r="G379" s="12"/>
      <c r="H379" s="22" t="str">
        <f aca="false">IF(A379="","",A379+7)</f>
        <v/>
      </c>
      <c r="I379" s="17"/>
    </row>
    <row r="380" customFormat="false" ht="15" hidden="false" customHeight="false" outlineLevel="0" collapsed="false">
      <c r="A380" s="21"/>
      <c r="B380" s="17"/>
      <c r="C380" s="17"/>
      <c r="D380" s="12"/>
      <c r="E380" s="17"/>
      <c r="F380" s="12"/>
      <c r="G380" s="12"/>
      <c r="H380" s="22" t="str">
        <f aca="false">IF(A380="","",A380+7)</f>
        <v/>
      </c>
      <c r="I380" s="17"/>
    </row>
    <row r="381" customFormat="false" ht="15" hidden="false" customHeight="false" outlineLevel="0" collapsed="false">
      <c r="A381" s="21"/>
      <c r="B381" s="17"/>
      <c r="C381" s="17"/>
      <c r="D381" s="12"/>
      <c r="E381" s="17"/>
      <c r="F381" s="12"/>
      <c r="G381" s="12"/>
      <c r="H381" s="22" t="str">
        <f aca="false">IF(A381="","",A381+7)</f>
        <v/>
      </c>
      <c r="I381" s="17"/>
    </row>
    <row r="382" customFormat="false" ht="15" hidden="false" customHeight="false" outlineLevel="0" collapsed="false">
      <c r="A382" s="21"/>
      <c r="B382" s="17"/>
      <c r="C382" s="17"/>
      <c r="D382" s="12"/>
      <c r="E382" s="17"/>
      <c r="F382" s="12"/>
      <c r="G382" s="12"/>
      <c r="H382" s="22" t="str">
        <f aca="false">IF(A382="","",A382+7)</f>
        <v/>
      </c>
      <c r="I382" s="17"/>
    </row>
    <row r="383" customFormat="false" ht="15" hidden="false" customHeight="false" outlineLevel="0" collapsed="false">
      <c r="A383" s="21"/>
      <c r="B383" s="17"/>
      <c r="C383" s="17"/>
      <c r="D383" s="12"/>
      <c r="E383" s="17"/>
      <c r="F383" s="12"/>
      <c r="G383" s="12"/>
      <c r="H383" s="22" t="str">
        <f aca="false">IF(A383="","",A383+7)</f>
        <v/>
      </c>
      <c r="I383" s="17"/>
    </row>
    <row r="384" customFormat="false" ht="15" hidden="false" customHeight="false" outlineLevel="0" collapsed="false">
      <c r="A384" s="21"/>
      <c r="B384" s="17"/>
      <c r="C384" s="17"/>
      <c r="D384" s="12"/>
      <c r="E384" s="17"/>
      <c r="F384" s="12"/>
      <c r="G384" s="12"/>
      <c r="H384" s="22" t="str">
        <f aca="false">IF(A384="","",A384+7)</f>
        <v/>
      </c>
      <c r="I384" s="17"/>
    </row>
    <row r="385" customFormat="false" ht="15" hidden="false" customHeight="false" outlineLevel="0" collapsed="false">
      <c r="A385" s="21"/>
      <c r="B385" s="17"/>
      <c r="C385" s="17"/>
      <c r="D385" s="12"/>
      <c r="E385" s="17"/>
      <c r="F385" s="12"/>
      <c r="G385" s="12"/>
      <c r="H385" s="22" t="str">
        <f aca="false">IF(A385="","",A385+7)</f>
        <v/>
      </c>
      <c r="I385" s="17"/>
    </row>
    <row r="386" customFormat="false" ht="15" hidden="false" customHeight="false" outlineLevel="0" collapsed="false">
      <c r="A386" s="21"/>
      <c r="B386" s="17"/>
      <c r="C386" s="17"/>
      <c r="D386" s="12"/>
      <c r="E386" s="17"/>
      <c r="F386" s="12"/>
      <c r="G386" s="12"/>
      <c r="H386" s="22" t="str">
        <f aca="false">IF(A386="","",A386+7)</f>
        <v/>
      </c>
      <c r="I386" s="17"/>
    </row>
    <row r="387" customFormat="false" ht="15" hidden="false" customHeight="false" outlineLevel="0" collapsed="false">
      <c r="A387" s="21"/>
      <c r="B387" s="17"/>
      <c r="C387" s="17"/>
      <c r="D387" s="12"/>
      <c r="E387" s="17"/>
      <c r="F387" s="12"/>
      <c r="G387" s="12"/>
      <c r="H387" s="22" t="str">
        <f aca="false">IF(A387="","",A387+7)</f>
        <v/>
      </c>
      <c r="I387" s="17"/>
    </row>
    <row r="388" customFormat="false" ht="15" hidden="false" customHeight="false" outlineLevel="0" collapsed="false">
      <c r="A388" s="21"/>
      <c r="B388" s="17"/>
      <c r="C388" s="17"/>
      <c r="D388" s="12"/>
      <c r="E388" s="17"/>
      <c r="F388" s="12"/>
      <c r="G388" s="12"/>
      <c r="H388" s="22" t="str">
        <f aca="false">IF(A388="","",A388+7)</f>
        <v/>
      </c>
      <c r="I388" s="17"/>
    </row>
    <row r="389" customFormat="false" ht="15" hidden="false" customHeight="false" outlineLevel="0" collapsed="false">
      <c r="A389" s="21"/>
      <c r="B389" s="17"/>
      <c r="C389" s="17"/>
      <c r="D389" s="12"/>
      <c r="E389" s="17"/>
      <c r="F389" s="12"/>
      <c r="G389" s="12"/>
      <c r="H389" s="22" t="str">
        <f aca="false">IF(A389="","",A389+7)</f>
        <v/>
      </c>
      <c r="I389" s="17"/>
    </row>
    <row r="390" customFormat="false" ht="15" hidden="false" customHeight="false" outlineLevel="0" collapsed="false">
      <c r="A390" s="21"/>
      <c r="B390" s="17"/>
      <c r="C390" s="17"/>
      <c r="D390" s="12"/>
      <c r="E390" s="17"/>
      <c r="F390" s="12"/>
      <c r="G390" s="12"/>
      <c r="H390" s="22" t="str">
        <f aca="false">IF(A390="","",A390+7)</f>
        <v/>
      </c>
      <c r="I390" s="17"/>
    </row>
    <row r="391" customFormat="false" ht="15" hidden="false" customHeight="false" outlineLevel="0" collapsed="false">
      <c r="A391" s="21"/>
      <c r="B391" s="17"/>
      <c r="C391" s="17"/>
      <c r="D391" s="12"/>
      <c r="E391" s="17"/>
      <c r="F391" s="12"/>
      <c r="G391" s="12"/>
      <c r="H391" s="22" t="str">
        <f aca="false">IF(A391="","",A391+7)</f>
        <v/>
      </c>
      <c r="I391" s="17"/>
    </row>
    <row r="392" customFormat="false" ht="15" hidden="false" customHeight="false" outlineLevel="0" collapsed="false">
      <c r="A392" s="21"/>
      <c r="B392" s="17"/>
      <c r="C392" s="17"/>
      <c r="D392" s="12"/>
      <c r="E392" s="17"/>
      <c r="F392" s="12"/>
      <c r="G392" s="12"/>
      <c r="H392" s="22" t="str">
        <f aca="false">IF(A392="","",A392+7)</f>
        <v/>
      </c>
      <c r="I392" s="17"/>
    </row>
    <row r="393" customFormat="false" ht="15" hidden="false" customHeight="false" outlineLevel="0" collapsed="false">
      <c r="A393" s="21"/>
      <c r="B393" s="17"/>
      <c r="C393" s="17"/>
      <c r="D393" s="12"/>
      <c r="E393" s="17"/>
      <c r="F393" s="12"/>
      <c r="G393" s="12"/>
      <c r="H393" s="22" t="str">
        <f aca="false">IF(A393="","",A393+7)</f>
        <v/>
      </c>
      <c r="I393" s="17"/>
    </row>
    <row r="394" customFormat="false" ht="15" hidden="false" customHeight="false" outlineLevel="0" collapsed="false">
      <c r="A394" s="21"/>
      <c r="B394" s="17"/>
      <c r="C394" s="17"/>
      <c r="D394" s="12"/>
      <c r="E394" s="17"/>
      <c r="F394" s="12"/>
      <c r="G394" s="12"/>
      <c r="H394" s="22" t="str">
        <f aca="false">IF(A394="","",A394+7)</f>
        <v/>
      </c>
      <c r="I394" s="17"/>
    </row>
    <row r="395" customFormat="false" ht="15" hidden="false" customHeight="false" outlineLevel="0" collapsed="false">
      <c r="A395" s="21"/>
      <c r="B395" s="17"/>
      <c r="C395" s="17"/>
      <c r="D395" s="12"/>
      <c r="E395" s="17"/>
      <c r="F395" s="12"/>
      <c r="G395" s="12"/>
      <c r="H395" s="22" t="str">
        <f aca="false">IF(A395="","",A395+7)</f>
        <v/>
      </c>
      <c r="I395" s="17"/>
    </row>
    <row r="396" customFormat="false" ht="15" hidden="false" customHeight="false" outlineLevel="0" collapsed="false">
      <c r="A396" s="21"/>
      <c r="B396" s="17"/>
      <c r="C396" s="17"/>
      <c r="D396" s="12"/>
      <c r="E396" s="17"/>
      <c r="F396" s="12"/>
      <c r="G396" s="12"/>
      <c r="H396" s="22" t="str">
        <f aca="false">IF(A396="","",A396+7)</f>
        <v/>
      </c>
      <c r="I396" s="17"/>
    </row>
    <row r="397" customFormat="false" ht="15" hidden="false" customHeight="false" outlineLevel="0" collapsed="false">
      <c r="A397" s="21"/>
      <c r="B397" s="17"/>
      <c r="C397" s="17"/>
      <c r="D397" s="12"/>
      <c r="E397" s="17"/>
      <c r="F397" s="12"/>
      <c r="G397" s="12"/>
      <c r="H397" s="22" t="str">
        <f aca="false">IF(A397="","",A397+7)</f>
        <v/>
      </c>
      <c r="I397" s="17"/>
    </row>
    <row r="398" customFormat="false" ht="15" hidden="false" customHeight="false" outlineLevel="0" collapsed="false">
      <c r="A398" s="21"/>
      <c r="B398" s="17"/>
      <c r="C398" s="17"/>
      <c r="D398" s="12"/>
      <c r="E398" s="17"/>
      <c r="F398" s="12"/>
      <c r="G398" s="12"/>
      <c r="H398" s="22" t="str">
        <f aca="false">IF(A398="","",A398+7)</f>
        <v/>
      </c>
      <c r="I398" s="17"/>
    </row>
    <row r="399" customFormat="false" ht="15" hidden="false" customHeight="false" outlineLevel="0" collapsed="false">
      <c r="A399" s="21"/>
      <c r="B399" s="17"/>
      <c r="C399" s="17"/>
      <c r="D399" s="12"/>
      <c r="E399" s="17"/>
      <c r="F399" s="12"/>
      <c r="G399" s="12"/>
      <c r="H399" s="22" t="str">
        <f aca="false">IF(A399="","",A399+7)</f>
        <v/>
      </c>
      <c r="I399" s="17"/>
    </row>
    <row r="400" customFormat="false" ht="15" hidden="false" customHeight="false" outlineLevel="0" collapsed="false">
      <c r="A400" s="21"/>
      <c r="B400" s="17"/>
      <c r="C400" s="17"/>
      <c r="D400" s="12"/>
      <c r="E400" s="17"/>
      <c r="F400" s="12"/>
      <c r="G400" s="12"/>
      <c r="H400" s="22" t="str">
        <f aca="false">IF(A400="","",A400+7)</f>
        <v/>
      </c>
      <c r="I400" s="17"/>
    </row>
    <row r="401" customFormat="false" ht="15" hidden="false" customHeight="false" outlineLevel="0" collapsed="false">
      <c r="A401" s="21"/>
      <c r="B401" s="17"/>
      <c r="C401" s="17"/>
      <c r="D401" s="12"/>
      <c r="E401" s="17"/>
      <c r="F401" s="12"/>
      <c r="G401" s="12"/>
      <c r="H401" s="22" t="str">
        <f aca="false">IF(A401="","",A401+7)</f>
        <v/>
      </c>
      <c r="I401" s="17"/>
    </row>
    <row r="402" customFormat="false" ht="15" hidden="false" customHeight="false" outlineLevel="0" collapsed="false">
      <c r="A402" s="21"/>
      <c r="B402" s="17"/>
      <c r="C402" s="17"/>
      <c r="D402" s="12"/>
      <c r="E402" s="17"/>
      <c r="F402" s="12"/>
      <c r="G402" s="12"/>
      <c r="H402" s="22" t="str">
        <f aca="false">IF(A402="","",A402+7)</f>
        <v/>
      </c>
      <c r="I402" s="17"/>
    </row>
    <row r="403" customFormat="false" ht="15" hidden="false" customHeight="false" outlineLevel="0" collapsed="false">
      <c r="A403" s="21"/>
      <c r="B403" s="17"/>
      <c r="C403" s="17"/>
      <c r="D403" s="12"/>
      <c r="E403" s="17"/>
      <c r="F403" s="12"/>
      <c r="G403" s="12"/>
      <c r="H403" s="22" t="str">
        <f aca="false">IF(A403="","",A403+7)</f>
        <v/>
      </c>
      <c r="I403" s="17"/>
    </row>
    <row r="404" customFormat="false" ht="15" hidden="false" customHeight="false" outlineLevel="0" collapsed="false">
      <c r="A404" s="21"/>
      <c r="B404" s="17"/>
      <c r="C404" s="17"/>
      <c r="D404" s="12"/>
      <c r="E404" s="17"/>
      <c r="F404" s="12"/>
      <c r="G404" s="12"/>
      <c r="H404" s="22" t="str">
        <f aca="false">IF(A404="","",A404+7)</f>
        <v/>
      </c>
      <c r="I404" s="17"/>
    </row>
  </sheetData>
  <conditionalFormatting sqref="H7:H404">
    <cfRule type="expression" priority="2" aboveAverage="0" equalAverage="0" bottom="0" percent="0" rank="0" text="" dxfId="1">
      <formula>AND(H7&lt;&gt;"",H7&lt;=TODAY(),I7&lt;&gt;"Sim")</formula>
    </cfRule>
  </conditionalFormatting>
  <dataValidations count="4">
    <dataValidation allowBlank="true" errorStyle="stop" operator="between" showDropDown="false" showErrorMessage="false" showInputMessage="false" sqref="B7:B404" type="list">
      <formula1>"Medicina Legal,Português,Direito"</formula1>
      <formula2>0</formula2>
    </dataValidation>
    <dataValidation allowBlank="true" errorStyle="stop" operator="between" showDropDown="false" showErrorMessage="false" showInputMessage="false" sqref="C7:C404" type="list">
      <formula1>'Registro diário'!$Z$6:$Z$57</formula1>
      <formula2>0</formula2>
    </dataValidation>
    <dataValidation allowBlank="true" errorStyle="stop" operator="between" showDropDown="false" showErrorMessage="false" showInputMessage="false" sqref="E7:E404" type="list">
      <formula1>"Não sabia,Confundi conceitos,Interpretação,Falta de atenção,Tempo"</formula1>
      <formula2>0</formula2>
    </dataValidation>
    <dataValidation allowBlank="true" errorStyle="stop" operator="between" showDropDown="false" showErrorMessage="false" showInputMessage="false" sqref="I7:I40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2" min="10" style="0" width="8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10"/>
  </cols>
  <sheetData>
    <row r="1" customFormat="false" ht="19.7" hidden="false" customHeight="false" outlineLevel="0" collapsed="false">
      <c r="A1" s="1" t="s">
        <v>427</v>
      </c>
    </row>
    <row r="2" customFormat="false" ht="15" hidden="false" customHeight="false" outlineLevel="0" collapsed="false">
      <c r="A2" s="2" t="s">
        <v>428</v>
      </c>
    </row>
    <row r="4" customFormat="false" ht="23.85" hidden="false" customHeight="false" outlineLevel="0" collapsed="false">
      <c r="A4" s="6" t="s">
        <v>429</v>
      </c>
      <c r="B4" s="6" t="s">
        <v>75</v>
      </c>
      <c r="C4" s="6" t="s">
        <v>387</v>
      </c>
      <c r="D4" s="6" t="s">
        <v>430</v>
      </c>
      <c r="E4" s="6" t="s">
        <v>431</v>
      </c>
      <c r="F4" s="6" t="s">
        <v>432</v>
      </c>
      <c r="G4" s="6" t="s">
        <v>433</v>
      </c>
      <c r="H4" s="6" t="s">
        <v>434</v>
      </c>
      <c r="I4" s="6" t="s">
        <v>435</v>
      </c>
      <c r="J4" s="6" t="s">
        <v>436</v>
      </c>
      <c r="K4" s="6" t="s">
        <v>437</v>
      </c>
      <c r="L4" s="6" t="s">
        <v>438</v>
      </c>
      <c r="M4" s="6" t="s">
        <v>439</v>
      </c>
      <c r="N4" s="6" t="s">
        <v>440</v>
      </c>
      <c r="O4" s="6" t="s">
        <v>441</v>
      </c>
    </row>
    <row r="5" customFormat="false" ht="15" hidden="false" customHeight="false" outlineLevel="0" collapsed="false">
      <c r="A5" s="8" t="s">
        <v>442</v>
      </c>
      <c r="B5" s="7" t="n">
        <v>13</v>
      </c>
      <c r="C5" s="21"/>
      <c r="D5" s="7" t="n">
        <v>20</v>
      </c>
      <c r="E5" s="17"/>
      <c r="F5" s="7" t="n">
        <v>12</v>
      </c>
      <c r="G5" s="17"/>
      <c r="H5" s="7" t="n">
        <v>8</v>
      </c>
      <c r="I5" s="17"/>
      <c r="J5" s="18" t="str">
        <f aca="false">IF(E5="","",E5/D5)</f>
        <v/>
      </c>
      <c r="K5" s="18" t="str">
        <f aca="false">IF(G5="","",G5/F5)</f>
        <v/>
      </c>
      <c r="L5" s="18" t="str">
        <f aca="false">IF(I5="","",I5/H5)</f>
        <v/>
      </c>
      <c r="M5" s="18" t="str">
        <f aca="false">IF(OR(E5="",G5="",I5=""),"",(E5+G5+I5)/(D5+F5+H5))</f>
        <v/>
      </c>
      <c r="N5" s="7" t="str">
        <f aca="false">IF(M5="","",IF(AND(J5&gt;=0.5,K5&gt;=0.5,L5&gt;=0.5),"Sim","NÃO"))</f>
        <v/>
      </c>
      <c r="O5" s="7" t="str">
        <f aca="false">IF(M5="","",IF(M5&gt;=0.7,"Sim","Ainda não"))</f>
        <v/>
      </c>
    </row>
    <row r="6" customFormat="false" ht="15" hidden="false" customHeight="false" outlineLevel="0" collapsed="false">
      <c r="A6" s="8" t="s">
        <v>443</v>
      </c>
      <c r="B6" s="7" t="n">
        <v>21</v>
      </c>
      <c r="C6" s="21"/>
      <c r="D6" s="7" t="n">
        <v>50</v>
      </c>
      <c r="E6" s="17"/>
      <c r="F6" s="7" t="n">
        <v>30</v>
      </c>
      <c r="G6" s="17"/>
      <c r="H6" s="7" t="n">
        <v>20</v>
      </c>
      <c r="I6" s="17"/>
      <c r="J6" s="18" t="str">
        <f aca="false">IF(E6="","",E6/D6)</f>
        <v/>
      </c>
      <c r="K6" s="18" t="str">
        <f aca="false">IF(G6="","",G6/F6)</f>
        <v/>
      </c>
      <c r="L6" s="18" t="str">
        <f aca="false">IF(I6="","",I6/H6)</f>
        <v/>
      </c>
      <c r="M6" s="18" t="str">
        <f aca="false">IF(OR(E6="",G6="",I6=""),"",(E6+G6+I6)/(D6+F6+H6))</f>
        <v/>
      </c>
      <c r="N6" s="7" t="str">
        <f aca="false">IF(M6="","",IF(AND(J6&gt;=0.5,K6&gt;=0.5,L6&gt;=0.5),"Sim","NÃO"))</f>
        <v/>
      </c>
      <c r="O6" s="7" t="str">
        <f aca="false">IF(M6="","",IF(M6&gt;=0.7,"Sim","Ainda não"))</f>
        <v/>
      </c>
    </row>
    <row r="7" customFormat="false" ht="15" hidden="false" customHeight="false" outlineLevel="0" collapsed="false">
      <c r="A7" s="8" t="s">
        <v>444</v>
      </c>
      <c r="B7" s="7" t="n">
        <v>23</v>
      </c>
      <c r="C7" s="21"/>
      <c r="D7" s="7" t="n">
        <v>50</v>
      </c>
      <c r="E7" s="17"/>
      <c r="F7" s="7" t="n">
        <v>30</v>
      </c>
      <c r="G7" s="17"/>
      <c r="H7" s="7" t="n">
        <v>20</v>
      </c>
      <c r="I7" s="17"/>
      <c r="J7" s="18" t="str">
        <f aca="false">IF(E7="","",E7/D7)</f>
        <v/>
      </c>
      <c r="K7" s="18" t="str">
        <f aca="false">IF(G7="","",G7/F7)</f>
        <v/>
      </c>
      <c r="L7" s="18" t="str">
        <f aca="false">IF(I7="","",I7/H7)</f>
        <v/>
      </c>
      <c r="M7" s="18" t="str">
        <f aca="false">IF(OR(E7="",G7="",I7=""),"",(E7+G7+I7)/(D7+F7+H7))</f>
        <v/>
      </c>
      <c r="N7" s="7" t="str">
        <f aca="false">IF(M7="","",IF(AND(J7&gt;=0.5,K7&gt;=0.5,L7&gt;=0.5),"Sim","NÃO"))</f>
        <v/>
      </c>
      <c r="O7" s="7" t="str">
        <f aca="false">IF(M7="","",IF(M7&gt;=0.7,"Sim","Ainda não"))</f>
        <v/>
      </c>
    </row>
    <row r="8" customFormat="false" ht="15" hidden="false" customHeight="false" outlineLevel="0" collapsed="false">
      <c r="A8" s="8" t="s">
        <v>445</v>
      </c>
      <c r="B8" s="7" t="n">
        <v>25</v>
      </c>
      <c r="C8" s="21"/>
      <c r="D8" s="7" t="n">
        <v>50</v>
      </c>
      <c r="E8" s="17"/>
      <c r="F8" s="7" t="n">
        <v>30</v>
      </c>
      <c r="G8" s="17"/>
      <c r="H8" s="7" t="n">
        <v>20</v>
      </c>
      <c r="I8" s="17"/>
      <c r="J8" s="18" t="str">
        <f aca="false">IF(E8="","",E8/D8)</f>
        <v/>
      </c>
      <c r="K8" s="18" t="str">
        <f aca="false">IF(G8="","",G8/F8)</f>
        <v/>
      </c>
      <c r="L8" s="18" t="str">
        <f aca="false">IF(I8="","",I8/H8)</f>
        <v/>
      </c>
      <c r="M8" s="18" t="str">
        <f aca="false">IF(OR(E8="",G8="",I8=""),"",(E8+G8+I8)/(D8+F8+H8))</f>
        <v/>
      </c>
      <c r="N8" s="7" t="str">
        <f aca="false">IF(M8="","",IF(AND(J8&gt;=0.5,K8&gt;=0.5,L8&gt;=0.5),"Sim","NÃO"))</f>
        <v/>
      </c>
      <c r="O8" s="7" t="str">
        <f aca="false">IF(M8="","",IF(M8&gt;=0.7,"Sim","Ainda não"))</f>
        <v/>
      </c>
    </row>
    <row r="9" customFormat="false" ht="15" hidden="false" customHeight="false" outlineLevel="0" collapsed="false">
      <c r="A9" s="8" t="s">
        <v>446</v>
      </c>
      <c r="B9" s="7"/>
      <c r="C9" s="21"/>
      <c r="D9" s="7" t="n">
        <v>50</v>
      </c>
      <c r="E9" s="17"/>
      <c r="F9" s="7" t="n">
        <v>30</v>
      </c>
      <c r="G9" s="17"/>
      <c r="H9" s="7" t="n">
        <v>20</v>
      </c>
      <c r="I9" s="17"/>
      <c r="J9" s="18" t="str">
        <f aca="false">IF(E9="","",E9/D9)</f>
        <v/>
      </c>
      <c r="K9" s="18" t="str">
        <f aca="false">IF(G9="","",G9/F9)</f>
        <v/>
      </c>
      <c r="L9" s="18" t="str">
        <f aca="false">IF(I9="","",I9/H9)</f>
        <v/>
      </c>
      <c r="M9" s="18" t="str">
        <f aca="false">IF(OR(E9="",G9="",I9=""),"",(E9+G9+I9)/(D9+F9+H9))</f>
        <v/>
      </c>
      <c r="N9" s="7" t="str">
        <f aca="false">IF(M9="","",IF(AND(J9&gt;=0.5,K9&gt;=0.5,L9&gt;=0.5),"Sim","NÃO"))</f>
        <v/>
      </c>
      <c r="O9" s="7" t="str">
        <f aca="false">IF(M9="","",IF(M9&gt;=0.7,"Sim","Ainda não"))</f>
        <v/>
      </c>
    </row>
    <row r="10" customFormat="false" ht="15" hidden="false" customHeight="false" outlineLevel="0" collapsed="false">
      <c r="A10" s="8" t="s">
        <v>446</v>
      </c>
      <c r="B10" s="7"/>
      <c r="C10" s="21"/>
      <c r="D10" s="7" t="n">
        <v>50</v>
      </c>
      <c r="E10" s="17"/>
      <c r="F10" s="7" t="n">
        <v>30</v>
      </c>
      <c r="G10" s="17"/>
      <c r="H10" s="7" t="n">
        <v>20</v>
      </c>
      <c r="I10" s="17"/>
      <c r="J10" s="18" t="str">
        <f aca="false">IF(E10="","",E10/D10)</f>
        <v/>
      </c>
      <c r="K10" s="18" t="str">
        <f aca="false">IF(G10="","",G10/F10)</f>
        <v/>
      </c>
      <c r="L10" s="18" t="str">
        <f aca="false">IF(I10="","",I10/H10)</f>
        <v/>
      </c>
      <c r="M10" s="18" t="str">
        <f aca="false">IF(OR(E10="",G10="",I10=""),"",(E10+G10+I10)/(D10+F10+H10))</f>
        <v/>
      </c>
      <c r="N10" s="7" t="str">
        <f aca="false">IF(M10="","",IF(AND(J10&gt;=0.5,K10&gt;=0.5,L10&gt;=0.5),"Sim","NÃO"))</f>
        <v/>
      </c>
      <c r="O10" s="7" t="str">
        <f aca="false">IF(M10="","",IF(M10&gt;=0.7,"Sim","Ainda não"))</f>
        <v/>
      </c>
    </row>
    <row r="12" customFormat="false" ht="15" hidden="false" customHeight="false" outlineLevel="0" collapsed="false">
      <c r="A12" s="27" t="s">
        <v>447</v>
      </c>
    </row>
  </sheetData>
  <conditionalFormatting sqref="N5:N10">
    <cfRule type="cellIs" priority="2" operator="equal" aboveAverage="0" equalAverage="0" bottom="0" percent="0" rank="0" text="" dxfId="1">
      <formula>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10" min="7" style="0" width="11"/>
  </cols>
  <sheetData>
    <row r="1" customFormat="false" ht="19.7" hidden="false" customHeight="false" outlineLevel="0" collapsed="false">
      <c r="A1" s="1" t="s">
        <v>448</v>
      </c>
    </row>
    <row r="2" customFormat="false" ht="15" hidden="false" customHeight="false" outlineLevel="0" collapsed="false">
      <c r="A2" s="2" t="s">
        <v>449</v>
      </c>
    </row>
    <row r="4" customFormat="false" ht="23.85" hidden="false" customHeight="false" outlineLevel="0" collapsed="false">
      <c r="A4" s="6" t="s">
        <v>75</v>
      </c>
      <c r="B4" s="6" t="s">
        <v>387</v>
      </c>
      <c r="C4" s="6" t="s">
        <v>450</v>
      </c>
      <c r="D4" s="6" t="s">
        <v>451</v>
      </c>
      <c r="E4" s="6" t="s">
        <v>452</v>
      </c>
      <c r="F4" s="6" t="s">
        <v>453</v>
      </c>
      <c r="G4" s="6" t="s">
        <v>454</v>
      </c>
      <c r="H4" s="6" t="s">
        <v>455</v>
      </c>
      <c r="I4" s="6" t="s">
        <v>456</v>
      </c>
      <c r="J4" s="6" t="s">
        <v>457</v>
      </c>
    </row>
    <row r="5" customFormat="false" ht="15" hidden="false" customHeight="false" outlineLevel="0" collapsed="false">
      <c r="A5" s="16" t="s">
        <v>458</v>
      </c>
      <c r="B5" s="8"/>
      <c r="C5" s="28" t="s">
        <v>459</v>
      </c>
      <c r="D5" s="28" t="s">
        <v>460</v>
      </c>
      <c r="E5" s="28" t="s">
        <v>461</v>
      </c>
      <c r="F5" s="28" t="s">
        <v>462</v>
      </c>
    </row>
    <row r="6" customFormat="false" ht="15" hidden="false" customHeight="false" outlineLevel="0" collapsed="false">
      <c r="A6" s="7" t="s">
        <v>105</v>
      </c>
      <c r="B6" s="21"/>
      <c r="C6" s="17"/>
      <c r="D6" s="17"/>
      <c r="E6" s="17"/>
      <c r="F6" s="17"/>
      <c r="G6" s="7" t="str">
        <f aca="false">IF(C6="","",IF(C6&gt;=15,"Apto","Abaixo"))</f>
        <v/>
      </c>
      <c r="H6" s="7" t="str">
        <f aca="false">IF(D6="","",IF(D6&gt;=20,"Apto","Abaixo"))</f>
        <v/>
      </c>
      <c r="I6" s="7" t="str">
        <f aca="false">IF(E6="","",IF(E6&lt;=22,"Apto","Abaixo"))</f>
        <v/>
      </c>
      <c r="J6" s="7" t="str">
        <f aca="false">IF(F6="","",IF(F6&lt;=12,"Apto","Abaixo"))</f>
        <v/>
      </c>
    </row>
    <row r="7" customFormat="false" ht="15" hidden="false" customHeight="false" outlineLevel="0" collapsed="false">
      <c r="A7" s="7" t="s">
        <v>129</v>
      </c>
      <c r="B7" s="21"/>
      <c r="C7" s="17"/>
      <c r="D7" s="17"/>
      <c r="E7" s="17"/>
      <c r="F7" s="17"/>
      <c r="G7" s="7" t="str">
        <f aca="false">IF(C7="","",IF(C7&gt;=15,"Apto","Abaixo"))</f>
        <v/>
      </c>
      <c r="H7" s="7" t="str">
        <f aca="false">IF(D7="","",IF(D7&gt;=20,"Apto","Abaixo"))</f>
        <v/>
      </c>
      <c r="I7" s="7" t="str">
        <f aca="false">IF(E7="","",IF(E7&lt;=22,"Apto","Abaixo"))</f>
        <v/>
      </c>
      <c r="J7" s="7" t="str">
        <f aca="false">IF(F7="","",IF(F7&lt;=12,"Apto","Abaixo"))</f>
        <v/>
      </c>
    </row>
    <row r="8" customFormat="false" ht="15" hidden="false" customHeight="false" outlineLevel="0" collapsed="false">
      <c r="A8" s="7" t="s">
        <v>151</v>
      </c>
      <c r="B8" s="21"/>
      <c r="C8" s="17"/>
      <c r="D8" s="17"/>
      <c r="E8" s="17"/>
      <c r="F8" s="17"/>
      <c r="G8" s="7" t="str">
        <f aca="false">IF(C8="","",IF(C8&gt;=15,"Apto","Abaixo"))</f>
        <v/>
      </c>
      <c r="H8" s="7" t="str">
        <f aca="false">IF(D8="","",IF(D8&gt;=20,"Apto","Abaixo"))</f>
        <v/>
      </c>
      <c r="I8" s="7" t="str">
        <f aca="false">IF(E8="","",IF(E8&lt;=22,"Apto","Abaixo"))</f>
        <v/>
      </c>
      <c r="J8" s="7" t="str">
        <f aca="false">IF(F8="","",IF(F8&lt;=12,"Apto","Abaixo"))</f>
        <v/>
      </c>
    </row>
    <row r="9" customFormat="false" ht="15" hidden="false" customHeight="false" outlineLevel="0" collapsed="false">
      <c r="A9" s="7" t="s">
        <v>172</v>
      </c>
      <c r="B9" s="21"/>
      <c r="C9" s="17"/>
      <c r="D9" s="17"/>
      <c r="E9" s="17"/>
      <c r="F9" s="17"/>
      <c r="G9" s="7" t="str">
        <f aca="false">IF(C9="","",IF(C9&gt;=15,"Apto","Abaixo"))</f>
        <v/>
      </c>
      <c r="H9" s="7" t="str">
        <f aca="false">IF(D9="","",IF(D9&gt;=20,"Apto","Abaixo"))</f>
        <v/>
      </c>
      <c r="I9" s="7" t="str">
        <f aca="false">IF(E9="","",IF(E9&lt;=22,"Apto","Abaixo"))</f>
        <v/>
      </c>
      <c r="J9" s="7" t="str">
        <f aca="false">IF(F9="","",IF(F9&lt;=12,"Apto","Abaixo"))</f>
        <v/>
      </c>
    </row>
    <row r="10" customFormat="false" ht="15" hidden="false" customHeight="false" outlineLevel="0" collapsed="false">
      <c r="A10" s="7" t="s">
        <v>194</v>
      </c>
      <c r="B10" s="21"/>
      <c r="C10" s="17"/>
      <c r="D10" s="17"/>
      <c r="E10" s="17"/>
      <c r="F10" s="17"/>
      <c r="G10" s="7" t="str">
        <f aca="false">IF(C10="","",IF(C10&gt;=15,"Apto","Abaixo"))</f>
        <v/>
      </c>
      <c r="H10" s="7" t="str">
        <f aca="false">IF(D10="","",IF(D10&gt;=20,"Apto","Abaixo"))</f>
        <v/>
      </c>
      <c r="I10" s="7" t="str">
        <f aca="false">IF(E10="","",IF(E10&lt;=22,"Apto","Abaixo"))</f>
        <v/>
      </c>
      <c r="J10" s="7" t="str">
        <f aca="false">IF(F10="","",IF(F10&lt;=12,"Apto","Abaixo"))</f>
        <v/>
      </c>
    </row>
    <row r="11" customFormat="false" ht="15" hidden="false" customHeight="false" outlineLevel="0" collapsed="false">
      <c r="A11" s="7" t="s">
        <v>221</v>
      </c>
      <c r="B11" s="21"/>
      <c r="C11" s="17"/>
      <c r="D11" s="17"/>
      <c r="E11" s="17"/>
      <c r="F11" s="17"/>
      <c r="G11" s="7" t="str">
        <f aca="false">IF(C11="","",IF(C11&gt;=15,"Apto","Abaixo"))</f>
        <v/>
      </c>
      <c r="H11" s="7" t="str">
        <f aca="false">IF(D11="","",IF(D11&gt;=20,"Apto","Abaixo"))</f>
        <v/>
      </c>
      <c r="I11" s="7" t="str">
        <f aca="false">IF(E11="","",IF(E11&lt;=22,"Apto","Abaixo"))</f>
        <v/>
      </c>
      <c r="J11" s="7" t="str">
        <f aca="false">IF(F11="","",IF(F11&lt;=12,"Apto","Abaixo"))</f>
        <v/>
      </c>
    </row>
    <row r="12" customFormat="false" ht="15" hidden="false" customHeight="false" outlineLevel="0" collapsed="false">
      <c r="A12" s="7" t="s">
        <v>446</v>
      </c>
      <c r="B12" s="21"/>
      <c r="C12" s="17"/>
      <c r="D12" s="17"/>
      <c r="E12" s="17"/>
      <c r="F12" s="17"/>
      <c r="G12" s="7" t="str">
        <f aca="false">IF(C12="","",IF(C12&gt;=15,"Apto","Abaixo"))</f>
        <v/>
      </c>
      <c r="H12" s="7" t="str">
        <f aca="false">IF(D12="","",IF(D12&gt;=20,"Apto","Abaixo"))</f>
        <v/>
      </c>
      <c r="I12" s="7" t="str">
        <f aca="false">IF(E12="","",IF(E12&lt;=22,"Apto","Abaixo"))</f>
        <v/>
      </c>
      <c r="J12" s="7" t="str">
        <f aca="false">IF(F12="","",IF(F12&lt;=12,"Apto","Abaixo"))</f>
        <v/>
      </c>
    </row>
    <row r="13" customFormat="false" ht="15" hidden="false" customHeight="false" outlineLevel="0" collapsed="false">
      <c r="A13" s="7" t="s">
        <v>446</v>
      </c>
      <c r="B13" s="21"/>
      <c r="C13" s="17"/>
      <c r="D13" s="17"/>
      <c r="E13" s="17"/>
      <c r="F13" s="17"/>
      <c r="G13" s="7" t="str">
        <f aca="false">IF(C13="","",IF(C13&gt;=15,"Apto","Abaixo"))</f>
        <v/>
      </c>
      <c r="H13" s="7" t="str">
        <f aca="false">IF(D13="","",IF(D13&gt;=20,"Apto","Abaixo"))</f>
        <v/>
      </c>
      <c r="I13" s="7" t="str">
        <f aca="false">IF(E13="","",IF(E13&lt;=22,"Apto","Abaixo"))</f>
        <v/>
      </c>
      <c r="J13" s="7" t="str">
        <f aca="false">IF(F13="","",IF(F13&lt;=12,"Apto","Abaixo"))</f>
        <v/>
      </c>
    </row>
  </sheetData>
  <conditionalFormatting sqref="G6:J13">
    <cfRule type="cellIs" priority="2" operator="equal" aboveAverage="0" equalAverage="0" bottom="0" percent="0" rank="0" text="" dxfId="1">
      <formula>"Abaixo"</formula>
    </cfRule>
    <cfRule type="cellIs" priority="3" operator="equal" aboveAverage="0" equalAverage="0" bottom="0" percent="0" rank="0" text="" dxfId="0">
      <formula>"Apto"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2026-10-26T17:59:55Z</dcterms:created>
  <dc:creator>openpyxl</dc:creator>
  <dc:description/>
  <dc:language>en-US</dc:language>
  <cp:lastModifiedBy/>
  <dcterms:modified xsi:type="dcterms:W3CDTF">2026-10-26T18:00:00Z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