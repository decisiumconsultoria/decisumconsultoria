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ece aqui" sheetId="1" state="visible" r:id="rId3"/>
    <sheet name="Diário" sheetId="2" state="visible" r:id="rId4"/>
    <sheet name="Painel" sheetId="3" state="visible" r:id="rId5"/>
    <sheet name="O que estudar" sheetId="4" state="visible" r:id="rId6"/>
    <sheet name="Edital" sheetId="5" state="visible" r:id="rId7"/>
    <sheet name="Erros" sheetId="6" state="visible" r:id="rId8"/>
    <sheet name="Simulad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<sst xmlns="http://schemas.openxmlformats.org/spreadsheetml/2006/main" count="1322" uniqueCount="463">
  <si>
    <t xml:space="preserve">Planilha de estudos da Patrícia</t>
  </si>
  <si>
    <t xml:space="preserve">Perito Legista PCERJ · 2h por dia · 02/11/2026 a 02/05/2027</t>
  </si>
  <si>
    <t xml:space="preserve">Regra única: você só preenche as células AMARELAS. O resto a planilha faz sozinha.</t>
  </si>
  <si>
    <t xml:space="preserve">QUANDO</t>
  </si>
  <si>
    <t xml:space="preserve">O QUE FAZER</t>
  </si>
  <si>
    <t xml:space="preserve">Todo dia (2 min)</t>
  </si>
  <si>
    <t xml:space="preserve">Aba DIÁRIO → vá até a linha de hoje (fica azul). Ela já diz o que estudar em cada bloco. Ao terminar, marque ✓ no bloco e escreva quantas questões fez e quantas acertou.</t>
  </si>
  <si>
    <t xml:space="preserve">Terminou a teoria de um tópico</t>
  </si>
  <si>
    <t xml:space="preserve">Aba EDITAL → escreva a data na coluna 'Estudei em'. A planilha calcula sozinha quando revisar (7 e 30 dias).</t>
  </si>
  <si>
    <t xml:space="preserve">Errou uma questão importante</t>
  </si>
  <si>
    <t xml:space="preserve">Aba ERROS → uma linha: o que errou e a regra certa em uma frase.</t>
  </si>
  <si>
    <t xml:space="preserve">Domingo (10 min)</t>
  </si>
  <si>
    <t xml:space="preserve">Aba PAINEL → veja a cor da semana. Depois, nas abas EDITAL e ERROS, faça tudo que estiver 🟡. Mande um print do painel para a mentora.</t>
  </si>
  <si>
    <t xml:space="preserve">Dia de simulado</t>
  </si>
  <si>
    <t xml:space="preserve">Aba SIMULADOS → escreva quantas acertou em cada matéria.</t>
  </si>
  <si>
    <t xml:space="preserve">Quer ver a semana toda</t>
  </si>
  <si>
    <t xml:space="preserve">Aba O QUE ESTUDAR → o conteúdo das 26 semanas, de uma vez.</t>
  </si>
  <si>
    <t xml:space="preserve">O QUE AS CORES QUEREM DIZER</t>
  </si>
  <si>
    <t xml:space="preserve">🟢 No ritmo</t>
  </si>
  <si>
    <t xml:space="preserve">Está tudo certo. Continue.</t>
  </si>
  <si>
    <t xml:space="preserve">🟡 Atenção</t>
  </si>
  <si>
    <t xml:space="preserve">Tem revisão para fazer ou alguma matéria abaixo de 60%. Resolva no domingo.</t>
  </si>
  <si>
    <t xml:space="preserve">🔴 Alerta</t>
  </si>
  <si>
    <t xml:space="preserve">Semana muito abaixo do plano. Fale com a mentora.</t>
  </si>
  <si>
    <t xml:space="preserve">Linha azul</t>
  </si>
  <si>
    <t xml:space="preserve">É o dia de hoje no Diário.</t>
  </si>
  <si>
    <t xml:space="preserve">Dúvidas sobre COMO estudar: consulte o Guia da Aluna (PDF).</t>
  </si>
  <si>
    <t xml:space="preserve">Diário · marque ✓ em cada bloco feito</t>
  </si>
  <si>
    <t xml:space="preserve">Os dias e o conteúdo de cada bloco já estão preenchidos. Você só marca ✓ e anota questões e acertos (células amarelas).</t>
  </si>
  <si>
    <t xml:space="preserve">Hoje:</t>
  </si>
  <si>
    <t xml:space="preserve">Data</t>
  </si>
  <si>
    <t xml:space="preserve">Dia</t>
  </si>
  <si>
    <t xml:space="preserve">Semana</t>
  </si>
  <si>
    <t xml:space="preserve">Bloco 1 · 07h–08h</t>
  </si>
  <si>
    <t xml:space="preserve">Feito?</t>
  </si>
  <si>
    <t xml:space="preserve">Questões</t>
  </si>
  <si>
    <t xml:space="preserve">Acertos</t>
  </si>
  <si>
    <t xml:space="preserve">Bloco 2 · 08h–09h</t>
  </si>
  <si>
    <t xml:space="preserve">Anotações (opcional)</t>
  </si>
  <si>
    <t xml:space="preserve">m1</t>
  </si>
  <si>
    <t xml:space="preserve">m2</t>
  </si>
  <si>
    <t xml:space="preserve">Segunda</t>
  </si>
  <si>
    <t xml:space="preserve">S1</t>
  </si>
  <si>
    <t xml:space="preserve">Medicina Legal · Teoria: Introdução, perícias e documentos</t>
  </si>
  <si>
    <t xml:space="preserve">Medicina Legal · Questões: Introdução, perícias e documentos</t>
  </si>
  <si>
    <t xml:space="preserve">Medicina Legal</t>
  </si>
  <si>
    <t xml:space="preserve">Quarta</t>
  </si>
  <si>
    <t xml:space="preserve">Português · Teoria: Texto e interpretação</t>
  </si>
  <si>
    <t xml:space="preserve">Direito · Teoria e lei seca: Constitucional: direitos fundamentais I</t>
  </si>
  <si>
    <t xml:space="preserve">Português</t>
  </si>
  <si>
    <t xml:space="preserve">Direito</t>
  </si>
  <si>
    <t xml:space="preserve">Quinta</t>
  </si>
  <si>
    <t xml:space="preserve">Medicina Legal · Teoria (continuação): Introdução, perícias e documentos</t>
  </si>
  <si>
    <t xml:space="preserve">Português · Questões: Texto e interpretação</t>
  </si>
  <si>
    <t xml:space="preserve">Sexta</t>
  </si>
  <si>
    <t xml:space="preserve">Medicina Legal · Questões e flashcards: Introdução, perícias e documentos</t>
  </si>
  <si>
    <t xml:space="preserve">Direito · Questões: Constitucional: direitos fundamentais I</t>
  </si>
  <si>
    <t xml:space="preserve">Domingo</t>
  </si>
  <si>
    <t xml:space="preserve">Português · Interpretação de textos FGV</t>
  </si>
  <si>
    <t xml:space="preserve">Revisão da semana + painel</t>
  </si>
  <si>
    <t xml:space="preserve">Revisão</t>
  </si>
  <si>
    <t xml:space="preserve">S2</t>
  </si>
  <si>
    <t xml:space="preserve">Medicina Legal · Teoria: Identificação</t>
  </si>
  <si>
    <t xml:space="preserve">Medicina Legal · Questões: Identificação</t>
  </si>
  <si>
    <t xml:space="preserve">Português · Teoria: Ortografia e acentuação</t>
  </si>
  <si>
    <t xml:space="preserve">Direito · Teoria e lei seca: Constitucional: direitos fundamentais II</t>
  </si>
  <si>
    <t xml:space="preserve">Medicina Legal · Teoria (continuação): Identificação</t>
  </si>
  <si>
    <t xml:space="preserve">Português · Questões: Ortografia e acentuação</t>
  </si>
  <si>
    <t xml:space="preserve">Medicina Legal · Questões e flashcards: Identificação</t>
  </si>
  <si>
    <t xml:space="preserve">Direito · Questões: Constitucional: direitos fundamentais II</t>
  </si>
  <si>
    <t xml:space="preserve">S3</t>
  </si>
  <si>
    <t xml:space="preserve">Medicina Legal · Teoria: Antropologia Forense</t>
  </si>
  <si>
    <t xml:space="preserve">Medicina Legal · Questões: Antropologia Forense</t>
  </si>
  <si>
    <t xml:space="preserve">Português · Teoria: Classes de palavras</t>
  </si>
  <si>
    <t xml:space="preserve">Direito · Teoria e lei seca: Constitucional: Adm. Pública e servidores</t>
  </si>
  <si>
    <t xml:space="preserve">Medicina Legal · Teoria (continuação): Antropologia Forense</t>
  </si>
  <si>
    <t xml:space="preserve">Português · Questões: Classes de palavras</t>
  </si>
  <si>
    <t xml:space="preserve">Medicina Legal · Questões e flashcards: Antropologia Forense</t>
  </si>
  <si>
    <t xml:space="preserve">Direito · Questões: Constitucional: Adm. Pública e servidores</t>
  </si>
  <si>
    <t xml:space="preserve">S4</t>
  </si>
  <si>
    <t xml:space="preserve">Medicina Legal · Teoria: Traumatologia I (agentes mecânicos)</t>
  </si>
  <si>
    <t xml:space="preserve">Medicina Legal · Questões: Traumatologia I (agentes mecânicos)</t>
  </si>
  <si>
    <t xml:space="preserve">Português · Teoria: Verbos</t>
  </si>
  <si>
    <t xml:space="preserve">Direito · Teoria e lei seca: Constitucional: Executivo, Segurança Pública e Ordem social</t>
  </si>
  <si>
    <t xml:space="preserve">Medicina Legal · Teoria (continuação): Traumatologia I (agentes mecânicos)</t>
  </si>
  <si>
    <t xml:space="preserve">Português · Questões: Verbos</t>
  </si>
  <si>
    <t xml:space="preserve">Medicina Legal · Questões e flashcards: Traumatologia I (agentes mecânicos)</t>
  </si>
  <si>
    <t xml:space="preserve">Direito · Questões: Constitucional: Executivo, Segurança Pública e Ordem social</t>
  </si>
  <si>
    <t xml:space="preserve">S5</t>
  </si>
  <si>
    <t xml:space="preserve">Medicina Legal · Teoria: Traumatologia II (armas de fogo)</t>
  </si>
  <si>
    <t xml:space="preserve">Medicina Legal · Questões: Traumatologia II (armas de fogo)</t>
  </si>
  <si>
    <t xml:space="preserve">Português · Teoria: Advérbio, preposição, conjunção e formação de palavras</t>
  </si>
  <si>
    <t xml:space="preserve">Direito · Teoria e lei seca: Penal: teoria do crime</t>
  </si>
  <si>
    <t xml:space="preserve">Medicina Legal · Teoria (continuação): Traumatologia II (armas de fogo)</t>
  </si>
  <si>
    <t xml:space="preserve">Português · Questões: Advérbio, preposição, conjunção e formação de palavras</t>
  </si>
  <si>
    <t xml:space="preserve">Medicina Legal · Questões e flashcards: Traumatologia II (armas de fogo)</t>
  </si>
  <si>
    <t xml:space="preserve">Direito · Questões: Penal: teoria do crime</t>
  </si>
  <si>
    <t xml:space="preserve">S6</t>
  </si>
  <si>
    <t xml:space="preserve">Medicina Legal · Teoria: Traumatologia III (físicos, químicos, idade da lesão)</t>
  </si>
  <si>
    <t xml:space="preserve">Medicina Legal · Questões: Traumatologia III (físicos, químicos, idade da lesão)</t>
  </si>
  <si>
    <t xml:space="preserve">Português · Teoria: Semântica</t>
  </si>
  <si>
    <t xml:space="preserve">Direito · Teoria e lei seca: Penal: inimputabilidade e crimes contra a pessoa I</t>
  </si>
  <si>
    <t xml:space="preserve">Medicina Legal · Teoria (continuação): Traumatologia III (físicos, químicos, idade da lesão)</t>
  </si>
  <si>
    <t xml:space="preserve">Português · Questões: Semântica</t>
  </si>
  <si>
    <t xml:space="preserve">Medicina Legal · Questões e flashcards: Traumatologia III (físicos, químicos, idade da lesão)</t>
  </si>
  <si>
    <t xml:space="preserve">Direito · Questões: Penal: inimputabilidade e crimes contra a pessoa I</t>
  </si>
  <si>
    <t xml:space="preserve">S7</t>
  </si>
  <si>
    <t xml:space="preserve">Medicina Legal · Teoria: Asfixias I (sufocação e constrição do pescoço)</t>
  </si>
  <si>
    <t xml:space="preserve">Medicina Legal · Questões: Asfixias I (sufocação e constrição do pescoço)</t>
  </si>
  <si>
    <t xml:space="preserve">Português · Teoria: Termos da oração</t>
  </si>
  <si>
    <t xml:space="preserve">Direito · Teoria e lei seca: Penal: crimes contra a pessoa II e contra a liberdade</t>
  </si>
  <si>
    <t xml:space="preserve">Medicina Legal · Teoria (continuação): Asfixias I (sufocação e constrição do pescoço)</t>
  </si>
  <si>
    <t xml:space="preserve">Português · Questões: Termos da oração</t>
  </si>
  <si>
    <t xml:space="preserve">Medicina Legal · Questões e flashcards: Asfixias I (sufocação e constrição do pescoço)</t>
  </si>
  <si>
    <t xml:space="preserve">Direito · Questões: Penal: crimes contra a pessoa II e contra a liberdade</t>
  </si>
  <si>
    <t xml:space="preserve">S8</t>
  </si>
  <si>
    <t xml:space="preserve">Revisão de 30 dias e atrasos</t>
  </si>
  <si>
    <t xml:space="preserve">Livre (opcional)</t>
  </si>
  <si>
    <t xml:space="preserve">Livre</t>
  </si>
  <si>
    <t xml:space="preserve">S9</t>
  </si>
  <si>
    <t xml:space="preserve">Medicina Legal · Teoria: Asfixias II (afogamento, soterramento, confinamento)</t>
  </si>
  <si>
    <t xml:space="preserve">Medicina Legal · Questões: Asfixias II (afogamento, soterramento, confinamento)</t>
  </si>
  <si>
    <t xml:space="preserve">Português · Teoria: Coordenação e subordinação</t>
  </si>
  <si>
    <t xml:space="preserve">Direito · Teoria e lei seca: Penal: crimes sexuais e contra a Adm. Pública</t>
  </si>
  <si>
    <t xml:space="preserve">Medicina Legal · Teoria (continuação): Asfixias II (afogamento, soterramento, confinamento)</t>
  </si>
  <si>
    <t xml:space="preserve">Português · Questões: Coordenação e subordinação</t>
  </si>
  <si>
    <t xml:space="preserve">Medicina Legal · Questões e flashcards: Asfixias II (afogamento, soterramento, confinamento)</t>
  </si>
  <si>
    <t xml:space="preserve">Direito · Questões: Penal: crimes sexuais e contra a Adm. Pública</t>
  </si>
  <si>
    <t xml:space="preserve">S10</t>
  </si>
  <si>
    <t xml:space="preserve">Medicina Legal · Teoria: Tanatologia I (diagnóstico e causa da morte)</t>
  </si>
  <si>
    <t xml:space="preserve">Medicina Legal · Questões: Tanatologia I (diagnóstico e causa da morte)</t>
  </si>
  <si>
    <t xml:space="preserve">Português · Teoria: Concordância</t>
  </si>
  <si>
    <t xml:space="preserve">Direito · Teoria e lei seca: Proc. Penal: inquérito e polícia judiciária</t>
  </si>
  <si>
    <t xml:space="preserve">Medicina Legal · Teoria (continuação): Tanatologia I (diagnóstico e causa da morte)</t>
  </si>
  <si>
    <t xml:space="preserve">Português · Questões: Concordância</t>
  </si>
  <si>
    <t xml:space="preserve">Medicina Legal · Questões e flashcards: Tanatologia I (diagnóstico e causa da morte)</t>
  </si>
  <si>
    <t xml:space="preserve">Direito · Questões: Proc. Penal: inquérito e polícia judiciária</t>
  </si>
  <si>
    <t xml:space="preserve">S11</t>
  </si>
  <si>
    <t xml:space="preserve">Medicina Legal · Teoria: Tanatologia II (tempo de morte)</t>
  </si>
  <si>
    <t xml:space="preserve">Medicina Legal · Questões: Tanatologia II (tempo de morte)</t>
  </si>
  <si>
    <t xml:space="preserve">Português · Teoria: Regência</t>
  </si>
  <si>
    <t xml:space="preserve">Direito · Teoria e lei seca: Proc. Penal: prova pericial e cadeia de custódia</t>
  </si>
  <si>
    <t xml:space="preserve">Medicina Legal · Teoria (continuação): Tanatologia II (tempo de morte)</t>
  </si>
  <si>
    <t xml:space="preserve">Português · Questões: Regência</t>
  </si>
  <si>
    <t xml:space="preserve">Medicina Legal · Questões e flashcards: Tanatologia II (tempo de morte)</t>
  </si>
  <si>
    <t xml:space="preserve">Direito · Questões: Proc. Penal: prova pericial e cadeia de custódia</t>
  </si>
  <si>
    <t xml:space="preserve">S12</t>
  </si>
  <si>
    <t xml:space="preserve">Medicina Legal · Teoria: Tanatologia III + Infortunística</t>
  </si>
  <si>
    <t xml:space="preserve">Medicina Legal · Questões: Tanatologia III + Infortunística</t>
  </si>
  <si>
    <t xml:space="preserve">Português · Teoria: Crase</t>
  </si>
  <si>
    <t xml:space="preserve">Direito · Teoria e lei seca: Leis: tortura, abuso de autoridade e racismo</t>
  </si>
  <si>
    <t xml:space="preserve">Medicina Legal · Teoria (continuação): Tanatologia III + Infortunística</t>
  </si>
  <si>
    <t xml:space="preserve">Português · Questões: Crase</t>
  </si>
  <si>
    <t xml:space="preserve">Medicina Legal · Questões e flashcards: Tanatologia III + Infortunística</t>
  </si>
  <si>
    <t xml:space="preserve">Direito · Questões: Leis: tortura, abuso de autoridade e racismo</t>
  </si>
  <si>
    <t xml:space="preserve">S13</t>
  </si>
  <si>
    <t xml:space="preserve">Medicina Legal · Teoria: Toxicologia I (intoxicações)</t>
  </si>
  <si>
    <t xml:space="preserve">Medicina Legal · Questões: Toxicologia I (intoxicações)</t>
  </si>
  <si>
    <t xml:space="preserve">Português · Teoria: Colocação pronominal</t>
  </si>
  <si>
    <t xml:space="preserve">Direito · Teoria e lei seca: Leis: drogas e ECA</t>
  </si>
  <si>
    <t xml:space="preserve">Medicina Legal · Teoria (continuação): Toxicologia I (intoxicações)</t>
  </si>
  <si>
    <t xml:space="preserve">Português · Questões: Colocação pronominal</t>
  </si>
  <si>
    <t xml:space="preserve">Medicina Legal · Questões e flashcards: Toxicologia I (intoxicações)</t>
  </si>
  <si>
    <t xml:space="preserve">Direito · Questões: Leis: drogas e ECA</t>
  </si>
  <si>
    <t xml:space="preserve">Mini-simulado diagnóstico (40 questões)</t>
  </si>
  <si>
    <t xml:space="preserve">Mini-simulado (continuação)</t>
  </si>
  <si>
    <t xml:space="preserve">Simulado</t>
  </si>
  <si>
    <t xml:space="preserve">S14</t>
  </si>
  <si>
    <t xml:space="preserve">Medicina Legal · Teoria: Toxicologia II (álcool e drogas)</t>
  </si>
  <si>
    <t xml:space="preserve">Medicina Legal · Questões: Toxicologia II (álcool e drogas)</t>
  </si>
  <si>
    <t xml:space="preserve">Português · Teoria: Pontuação</t>
  </si>
  <si>
    <t xml:space="preserve">Direito · Teoria e lei seca: Leis: Maria da Penha, Idoso e PcD</t>
  </si>
  <si>
    <t xml:space="preserve">Medicina Legal · Teoria (continuação): Toxicologia II (álcool e drogas)</t>
  </si>
  <si>
    <t xml:space="preserve">Português · Questões: Pontuação</t>
  </si>
  <si>
    <t xml:space="preserve">Medicina Legal · Questões e flashcards: Toxicologia II (álcool e drogas)</t>
  </si>
  <si>
    <t xml:space="preserve">Direito · Questões: Leis: Maria da Penha, Idoso e PcD</t>
  </si>
  <si>
    <t xml:space="preserve">S15</t>
  </si>
  <si>
    <t xml:space="preserve">S16</t>
  </si>
  <si>
    <t xml:space="preserve">Medicina Legal · Teoria: Sexologia I (crimes sexuais)</t>
  </si>
  <si>
    <t xml:space="preserve">Medicina Legal · Questões: Sexologia I (crimes sexuais)</t>
  </si>
  <si>
    <t xml:space="preserve">Português · Teoria: Coesão textual</t>
  </si>
  <si>
    <t xml:space="preserve">Direito · Teoria e lei seca: Administrativo: organização e ato administrativo</t>
  </si>
  <si>
    <t xml:space="preserve">Medicina Legal · Teoria (continuação): Sexologia I (crimes sexuais)</t>
  </si>
  <si>
    <t xml:space="preserve">Português · Questões: Coesão textual</t>
  </si>
  <si>
    <t xml:space="preserve">Medicina Legal · Questões e flashcards: Sexologia I (crimes sexuais)</t>
  </si>
  <si>
    <t xml:space="preserve">Direito · Questões: Administrativo: organização e ato administrativo</t>
  </si>
  <si>
    <t xml:space="preserve">S17</t>
  </si>
  <si>
    <t xml:space="preserve">Medicina Legal · Teoria: Sexologia II (gravidez, aborto, infanticídio)</t>
  </si>
  <si>
    <t xml:space="preserve">Medicina Legal · Questões: Sexologia II (gravidez, aborto, infanticídio)</t>
  </si>
  <si>
    <t xml:space="preserve">Português · Teoria: Reescrita de frases I</t>
  </si>
  <si>
    <t xml:space="preserve">Direito · Teoria e lei seca: Administrativo: poderes, agentes e responsabilidade</t>
  </si>
  <si>
    <t xml:space="preserve">Medicina Legal · Teoria (continuação): Sexologia II (gravidez, aborto, infanticídio)</t>
  </si>
  <si>
    <t xml:space="preserve">Português · Questões: Reescrita de frases I</t>
  </si>
  <si>
    <t xml:space="preserve">Medicina Legal · Questões e flashcards: Sexologia II (gravidez, aborto, infanticídio)</t>
  </si>
  <si>
    <t xml:space="preserve">Direito · Questões: Administrativo: poderes, agentes e responsabilidade</t>
  </si>
  <si>
    <t xml:space="preserve">S18</t>
  </si>
  <si>
    <t xml:space="preserve">Medicina Legal · Teoria: Sexologia III (maus-tratos, DNA)</t>
  </si>
  <si>
    <t xml:space="preserve">Medicina Legal · Questões: Sexologia III (maus-tratos, DNA)</t>
  </si>
  <si>
    <t xml:space="preserve">Português · Teoria: Reescrita de frases II e variação linguística</t>
  </si>
  <si>
    <t xml:space="preserve">Direito · Teoria e lei seca: Estatuto dos servidores do RJ</t>
  </si>
  <si>
    <t xml:space="preserve">Medicina Legal · Teoria (continuação): Sexologia III (maus-tratos, DNA)</t>
  </si>
  <si>
    <t xml:space="preserve">Português · Questões: Reescrita de frases II e variação linguística</t>
  </si>
  <si>
    <t xml:space="preserve">Medicina Legal · Questões e flashcards: Sexologia III (maus-tratos, DNA)</t>
  </si>
  <si>
    <t xml:space="preserve">Direito · Questões: Estatuto dos servidores do RJ</t>
  </si>
  <si>
    <t xml:space="preserve">S19</t>
  </si>
  <si>
    <t xml:space="preserve">Medicina Legal · Teoria: Psiquiatria Forense</t>
  </si>
  <si>
    <t xml:space="preserve">Medicina Legal · Questões: Psiquiatria Forense</t>
  </si>
  <si>
    <t xml:space="preserve">Direito · Teoria e lei seca: Estatuto dos policiais civis do RJ</t>
  </si>
  <si>
    <t xml:space="preserve">Medicina Legal · Teoria (continuação): Psiquiatria Forense</t>
  </si>
  <si>
    <t xml:space="preserve">Medicina Legal · Questões e flashcards: Psiquiatria Forense</t>
  </si>
  <si>
    <t xml:space="preserve">Direito · Questões: Estatuto dos policiais civis do RJ</t>
  </si>
  <si>
    <t xml:space="preserve">S20</t>
  </si>
  <si>
    <t xml:space="preserve">Medicina Legal · Teoria: Ética médica</t>
  </si>
  <si>
    <t xml:space="preserve">Medicina Legal · Questões: Ética médica</t>
  </si>
  <si>
    <t xml:space="preserve">Português · Revisão de gramática (caderno de erros)</t>
  </si>
  <si>
    <t xml:space="preserve">Direito · Questões mistas de Direito</t>
  </si>
  <si>
    <t xml:space="preserve">Medicina Legal · Teoria (continuação): Ética médica</t>
  </si>
  <si>
    <t xml:space="preserve">Medicina Legal · Questões e flashcards: Ética médica</t>
  </si>
  <si>
    <t xml:space="preserve">S21</t>
  </si>
  <si>
    <t xml:space="preserve">Medicina Legal · Questões: Traumatologia e Asfixias</t>
  </si>
  <si>
    <t xml:space="preserve">Português · Questões: interpretação, concordância e regência</t>
  </si>
  <si>
    <t xml:space="preserve">Direito · Questões: Constitucional e Penal</t>
  </si>
  <si>
    <t xml:space="preserve">Medicina Legal · Teoria dos tópicos com mais erros</t>
  </si>
  <si>
    <t xml:space="preserve">Simulado completo 100 q. (07h–12h)</t>
  </si>
  <si>
    <t xml:space="preserve">Simulado (continuação)</t>
  </si>
  <si>
    <t xml:space="preserve">S22</t>
  </si>
  <si>
    <t xml:space="preserve">Correção do simulado</t>
  </si>
  <si>
    <t xml:space="preserve">Medicina Legal · Questões: Tanatologia e Toxicologia</t>
  </si>
  <si>
    <t xml:space="preserve">Português · Questões: sintaxe, pontuação e crase</t>
  </si>
  <si>
    <t xml:space="preserve">Direito · Questões: Proc. Penal e leis especiais</t>
  </si>
  <si>
    <t xml:space="preserve">S23</t>
  </si>
  <si>
    <t xml:space="preserve">Medicina Legal · Questões: Sexologia e Psiquiatria</t>
  </si>
  <si>
    <t xml:space="preserve">Português · Questões: coesão e reescrita</t>
  </si>
  <si>
    <t xml:space="preserve">Direito · Questões: Administrativo e estatutos</t>
  </si>
  <si>
    <t xml:space="preserve">S24</t>
  </si>
  <si>
    <t xml:space="preserve">Medicina Legal · Questões: Identificação, Antropologia, Ética + seus erros</t>
  </si>
  <si>
    <t xml:space="preserve">Português · Questões mistas</t>
  </si>
  <si>
    <t xml:space="preserve">Direito · Questões mistas + lei seca</t>
  </si>
  <si>
    <t xml:space="preserve">S25</t>
  </si>
  <si>
    <t xml:space="preserve">Medicina Legal · Revisão final (resumos e flashcards)</t>
  </si>
  <si>
    <t xml:space="preserve">Português · Revisão do caderno de erros</t>
  </si>
  <si>
    <t xml:space="preserve">Direito · Lei seca: trechos grifados</t>
  </si>
  <si>
    <t xml:space="preserve">S26</t>
  </si>
  <si>
    <t xml:space="preserve">Revisões leves</t>
  </si>
  <si>
    <t xml:space="preserve">Livre (descanso)</t>
  </si>
  <si>
    <t xml:space="preserve">Painel · como foi a sua semana</t>
  </si>
  <si>
    <t xml:space="preserve">Tudo aqui é automático. Olhe a coluna SITUAÇÃO todo domingo e mande um print para a mentora.</t>
  </si>
  <si>
    <t xml:space="preserve">Blocos feitos</t>
  </si>
  <si>
    <t xml:space="preserve">Questões feitas</t>
  </si>
  <si>
    <t xml:space="preserve">Acerto geral</t>
  </si>
  <si>
    <t xml:space="preserve">Edital estudado</t>
  </si>
  <si>
    <t xml:space="preserve">Revisões para fazer</t>
  </si>
  <si>
    <t xml:space="preserve">Datas</t>
  </si>
  <si>
    <t xml:space="preserve">Blocos planejados</t>
  </si>
  <si>
    <t xml:space="preserve">% feito</t>
  </si>
  <si>
    <t xml:space="preserve">Meta de questões</t>
  </si>
  <si>
    <t xml:space="preserve">Acerto Medicina Legal</t>
  </si>
  <si>
    <t xml:space="preserve">Acerto Português</t>
  </si>
  <si>
    <t xml:space="preserve">Acerto Direito</t>
  </si>
  <si>
    <t xml:space="preserve">SITUAÇÃO</t>
  </si>
  <si>
    <t xml:space="preserve">02/11–08/11/26</t>
  </si>
  <si>
    <t xml:space="preserve">09/11–15/11/26</t>
  </si>
  <si>
    <t xml:space="preserve">16/11–22/11/26</t>
  </si>
  <si>
    <t xml:space="preserve">23/11–29/11/26</t>
  </si>
  <si>
    <t xml:space="preserve">30/11–06/12/26</t>
  </si>
  <si>
    <t xml:space="preserve">07/12–13/12/26</t>
  </si>
  <si>
    <t xml:space="preserve">14/12–20/12/26</t>
  </si>
  <si>
    <t xml:space="preserve">21/12–27/12/26</t>
  </si>
  <si>
    <t xml:space="preserve">28/12–03/01/27</t>
  </si>
  <si>
    <t xml:space="preserve">04/01–10/01/27</t>
  </si>
  <si>
    <t xml:space="preserve">11/01–17/01/27</t>
  </si>
  <si>
    <t xml:space="preserve">18/01–24/01/27</t>
  </si>
  <si>
    <t xml:space="preserve">25/01–31/01/27</t>
  </si>
  <si>
    <t xml:space="preserve">01/02–07/02/27</t>
  </si>
  <si>
    <t xml:space="preserve">08/02–14/02/27</t>
  </si>
  <si>
    <t xml:space="preserve">15/02–21/02/27</t>
  </si>
  <si>
    <t xml:space="preserve">22/02–28/02/27</t>
  </si>
  <si>
    <t xml:space="preserve">01/03–07/03/27</t>
  </si>
  <si>
    <t xml:space="preserve">08/03–14/03/27</t>
  </si>
  <si>
    <t xml:space="preserve">15/03–21/03/27</t>
  </si>
  <si>
    <t xml:space="preserve">22/03–28/03/27</t>
  </si>
  <si>
    <t xml:space="preserve">29/03–04/04/27</t>
  </si>
  <si>
    <t xml:space="preserve">05/04–11/04/27</t>
  </si>
  <si>
    <t xml:space="preserve">12/04–18/04/27</t>
  </si>
  <si>
    <t xml:space="preserve">19/04–25/04/27</t>
  </si>
  <si>
    <t xml:space="preserve">26/04–02/05/27</t>
  </si>
  <si>
    <t xml:space="preserve">O que estudar · as 26 semanas</t>
  </si>
  <si>
    <t xml:space="preserve">Visão geral. O Diário já mostra o conteúdo de cada dia. Marque ✓ quando fechar a semana.</t>
  </si>
  <si>
    <t xml:space="preserve">Medicina Legal (4h)</t>
  </si>
  <si>
    <t xml:space="preserve">Português (3h)</t>
  </si>
  <si>
    <t xml:space="preserve">Direito (2h)</t>
  </si>
  <si>
    <t xml:space="preserve">Revisão de 30 dias</t>
  </si>
  <si>
    <t xml:space="preserve">Destaque</t>
  </si>
  <si>
    <t xml:space="preserve">Semana concluída?</t>
  </si>
  <si>
    <t xml:space="preserve">Introdução, perícias e documentos</t>
  </si>
  <si>
    <t xml:space="preserve">Texto e interpretação</t>
  </si>
  <si>
    <t xml:space="preserve">Constitucional: direitos fundamentais I</t>
  </si>
  <si>
    <t xml:space="preserve">—</t>
  </si>
  <si>
    <t xml:space="preserve">Identificação</t>
  </si>
  <si>
    <t xml:space="preserve">Ortografia e acentuação</t>
  </si>
  <si>
    <t xml:space="preserve">Constitucional: direitos fundamentais II</t>
  </si>
  <si>
    <t xml:space="preserve">Antropologia Forense</t>
  </si>
  <si>
    <t xml:space="preserve">Classes de palavras</t>
  </si>
  <si>
    <t xml:space="preserve">Constitucional: Adm. Pública e servidores</t>
  </si>
  <si>
    <t xml:space="preserve">Traumatologia I (agentes mecânicos)</t>
  </si>
  <si>
    <t xml:space="preserve">Verbos</t>
  </si>
  <si>
    <t xml:space="preserve">Constitucional: Executivo, Segurança Pública e Ordem social</t>
  </si>
  <si>
    <t xml:space="preserve">Traumatologia II (armas de fogo)</t>
  </si>
  <si>
    <t xml:space="preserve">Advérbio, preposição, conjunção e formação de palavras</t>
  </si>
  <si>
    <t xml:space="preserve">Penal: teoria do crime</t>
  </si>
  <si>
    <t xml:space="preserve">Traumatologia III (físicos, químicos, idade da lesão)</t>
  </si>
  <si>
    <t xml:space="preserve">Semântica</t>
  </si>
  <si>
    <t xml:space="preserve">Penal: inimputabilidade e crimes contra a pessoa I</t>
  </si>
  <si>
    <t xml:space="preserve">Asfixias I (sufocação e constrição do pescoço)</t>
  </si>
  <si>
    <t xml:space="preserve">Termos da oração</t>
  </si>
  <si>
    <t xml:space="preserve">Penal: crimes contra a pessoa II e contra a liberdade</t>
  </si>
  <si>
    <t xml:space="preserve">Semana leve: revisão e atrasos</t>
  </si>
  <si>
    <t xml:space="preserve">Semana leve (Natal)</t>
  </si>
  <si>
    <t xml:space="preserve">Asfixias II (afogamento, soterramento, confinamento)</t>
  </si>
  <si>
    <t xml:space="preserve">Coordenação e subordinação</t>
  </si>
  <si>
    <t xml:space="preserve">Penal: crimes sexuais e contra a Adm. Pública</t>
  </si>
  <si>
    <t xml:space="preserve">Tanatologia I (diagnóstico e causa da morte)</t>
  </si>
  <si>
    <t xml:space="preserve">Concordância</t>
  </si>
  <si>
    <t xml:space="preserve">Proc. Penal: inquérito e polícia judiciária</t>
  </si>
  <si>
    <t xml:space="preserve">Tanatologia II (tempo de morte)</t>
  </si>
  <si>
    <t xml:space="preserve">Regência</t>
  </si>
  <si>
    <t xml:space="preserve">Proc. Penal: prova pericial e cadeia de custódia</t>
  </si>
  <si>
    <t xml:space="preserve">Tanatologia III + Infortunística</t>
  </si>
  <si>
    <t xml:space="preserve">Crase</t>
  </si>
  <si>
    <t xml:space="preserve">Leis: tortura, abuso de autoridade e racismo</t>
  </si>
  <si>
    <t xml:space="preserve">Toxicologia I (intoxicações)</t>
  </si>
  <si>
    <t xml:space="preserve">Colocação pronominal</t>
  </si>
  <si>
    <t xml:space="preserve">Leis: drogas e ECA</t>
  </si>
  <si>
    <t xml:space="preserve">Mini-simulado diagnóstico (40 q.) no domingo</t>
  </si>
  <si>
    <t xml:space="preserve">Toxicologia II (álcool e drogas)</t>
  </si>
  <si>
    <t xml:space="preserve">Pontuação</t>
  </si>
  <si>
    <t xml:space="preserve">Leis: Maria da Penha, Idoso e PcD</t>
  </si>
  <si>
    <t xml:space="preserve">Semana leve (Carnaval)</t>
  </si>
  <si>
    <t xml:space="preserve">Sexologia I (crimes sexuais)</t>
  </si>
  <si>
    <t xml:space="preserve">Coesão textual</t>
  </si>
  <si>
    <t xml:space="preserve">Administrativo: organização e ato administrativo</t>
  </si>
  <si>
    <t xml:space="preserve">Sexologia II (gravidez, aborto, infanticídio)</t>
  </si>
  <si>
    <t xml:space="preserve">Reescrita de frases I</t>
  </si>
  <si>
    <t xml:space="preserve">Administrativo: poderes, agentes e responsabilidade</t>
  </si>
  <si>
    <t xml:space="preserve">Sexologia III (maus-tratos, DNA)</t>
  </si>
  <si>
    <t xml:space="preserve">Reescrita de frases II e variação linguística</t>
  </si>
  <si>
    <t xml:space="preserve">Estatuto dos servidores do RJ</t>
  </si>
  <si>
    <t xml:space="preserve">Psiquiatria Forense</t>
  </si>
  <si>
    <t xml:space="preserve">Interpretação de textos FGV</t>
  </si>
  <si>
    <t xml:space="preserve">Estatuto dos policiais civis do RJ</t>
  </si>
  <si>
    <t xml:space="preserve">Ética médica</t>
  </si>
  <si>
    <t xml:space="preserve">Revisão de gramática (caderno de erros)</t>
  </si>
  <si>
    <t xml:space="preserve">Questões mistas de Direito</t>
  </si>
  <si>
    <t xml:space="preserve">Questões: Traumatologia e Asfixias</t>
  </si>
  <si>
    <t xml:space="preserve">Questões: interpretação, concordância e regência</t>
  </si>
  <si>
    <t xml:space="preserve">Questões: Constitucional e Penal</t>
  </si>
  <si>
    <t xml:space="preserve">Simulado 1 (100 q.) — domingo 07h–12h</t>
  </si>
  <si>
    <t xml:space="preserve">Questões: Tanatologia e Toxicologia</t>
  </si>
  <si>
    <t xml:space="preserve">Questões: sintaxe, pontuação e crase</t>
  </si>
  <si>
    <t xml:space="preserve">Questões: Proc. Penal e leis especiais</t>
  </si>
  <si>
    <t xml:space="preserve">Questões: Sexologia e Psiquiatria</t>
  </si>
  <si>
    <t xml:space="preserve">Questões: coesão e reescrita</t>
  </si>
  <si>
    <t xml:space="preserve">Questões: Administrativo e estatutos</t>
  </si>
  <si>
    <t xml:space="preserve">Simulado 2 (100 q.) — domingo 07h–12h</t>
  </si>
  <si>
    <t xml:space="preserve">Questões: Identificação, Antropologia, Ética + seus erros</t>
  </si>
  <si>
    <t xml:space="preserve">Questões mistas</t>
  </si>
  <si>
    <t xml:space="preserve">Questões mistas + lei seca</t>
  </si>
  <si>
    <t xml:space="preserve">Revisão final (resumos e flashcards)</t>
  </si>
  <si>
    <t xml:space="preserve">Revisão do caderno de erros</t>
  </si>
  <si>
    <t xml:space="preserve">Lei seca: trechos grifados</t>
  </si>
  <si>
    <t xml:space="preserve">Simulado 3 (100 q.) — domingo 07h–12h</t>
  </si>
  <si>
    <t xml:space="preserve">Revisões leves (sem conteúdo novo)</t>
  </si>
  <si>
    <t xml:space="preserve">Semana da prova: descansar</t>
  </si>
  <si>
    <t xml:space="preserve">Edital · os 51 tópicos e suas revisões</t>
  </si>
  <si>
    <t xml:space="preserve">Quando terminar a teoria de um tópico, escreva a data em 'Estudei em'. Quando fizer a revisão, marque ✓.</t>
  </si>
  <si>
    <t xml:space="preserve">Matéria</t>
  </si>
  <si>
    <t xml:space="preserve">Tópico</t>
  </si>
  <si>
    <t xml:space="preserve">Estudei em</t>
  </si>
  <si>
    <t xml:space="preserve">Revisar 7 dias em</t>
  </si>
  <si>
    <t xml:space="preserve">Feita?</t>
  </si>
  <si>
    <t xml:space="preserve">Revisar 30 dias em</t>
  </si>
  <si>
    <t xml:space="preserve">Situação</t>
  </si>
  <si>
    <t xml:space="preserve">O que o edital pede (detalhe)</t>
  </si>
  <si>
    <t xml:space="preserve">Normas éticas x jurídicas; processo e provas; fatos duradouros e perícias; conceitos, história e divisões da Medicina Legal; perícias médicas e documentos médico-legais</t>
  </si>
  <si>
    <t xml:space="preserve">Texto: gêneros (literário e não literário), tipologia (narrativo, descritivo, argumentativo), interpretação e organização interna</t>
  </si>
  <si>
    <t xml:space="preserve">Constitucional: supremacia da Constituição; direitos e deveres individuais e coletivos (art. 5º, parte 1)</t>
  </si>
  <si>
    <t xml:space="preserve">Identidade e identificação; métodos de identificação nos vivos e em cadáveres</t>
  </si>
  <si>
    <t xml:space="preserve">Ortografia e acentuação gráfica</t>
  </si>
  <si>
    <t xml:space="preserve">Constitucional: art. 5º, parte 2 (incl. remédios constitucionais)</t>
  </si>
  <si>
    <t xml:space="preserve">Antropologia Forense: sexo, idade, estatura e ancestralidade</t>
  </si>
  <si>
    <t xml:space="preserve">Morfologia I: substantivo, adjetivo, artigo, numeral e pronome</t>
  </si>
  <si>
    <t xml:space="preserve">Constitucional: Administração Pública e servidores públicos civis (arts. 37–41)</t>
  </si>
  <si>
    <t xml:space="preserve">Traumatologia I: conceitos de trauma e lesão; consequências jurídicas dos traumas; agentes mecânicos (contundentes, cortantes, perfurantes e mistos)</t>
  </si>
  <si>
    <t xml:space="preserve">Morfologia II: verbo — flexão e emprego de tempos e modos</t>
  </si>
  <si>
    <t xml:space="preserve">Constitucional: Poder Executivo (forma e sistema de governo, chefias); Segurança Pública na CF e na Constituição do RJ; Ordem social</t>
  </si>
  <si>
    <t xml:space="preserve">Traumatologia II: armas de fogo (agentes perfurocontundentes)</t>
  </si>
  <si>
    <t xml:space="preserve">Advérbio, preposição e conjunção; processos de formação de palavras</t>
  </si>
  <si>
    <t xml:space="preserve">Penal: fato típico; dolo e culpa; consumação e tentativa; crime impossível</t>
  </si>
  <si>
    <t xml:space="preserve">Traumatologia III: agentes físicos, químicos e outros vulnerantes; idade da lesão e reação vital</t>
  </si>
  <si>
    <t xml:space="preserve">Semântica: sentido e emprego dos vocábulos; campos semânticos</t>
  </si>
  <si>
    <t xml:space="preserve">Penal: inimputabilidade penal; medidas de segurança; crimes contra a pessoa (parte 1)</t>
  </si>
  <si>
    <t xml:space="preserve">Asfixiologia I: conceito e classificação etiológica; sufocação direta e indireta; enforcamento, estrangulamento e esganadura</t>
  </si>
  <si>
    <t xml:space="preserve">Sintaxe I: frase, oração e período; termos da oração</t>
  </si>
  <si>
    <t xml:space="preserve">Penal: crimes contra a pessoa (parte 2); crimes contra a liberdade individual</t>
  </si>
  <si>
    <t xml:space="preserve">Asfixiologia II: confinamento, soterramento e afogamento</t>
  </si>
  <si>
    <t xml:space="preserve">Sintaxe II: processos de coordenação e subordinação</t>
  </si>
  <si>
    <t xml:space="preserve">Penal: crimes contra a dignidade sexual; crimes contra a administração pública</t>
  </si>
  <si>
    <t xml:space="preserve">Tanatologia I: diagnóstico da morte e consequências jurídicas; conceito moderno de morte e doação de órgãos; causa jurídica da morte (natural, violenta, suspeita, súbita)</t>
  </si>
  <si>
    <t xml:space="preserve">Concordância nominal e verbal</t>
  </si>
  <si>
    <t xml:space="preserve">Proc. Penal: garantias constitucionais; inquérito policial; polícia judiciária; diligências; auto de resistência; algemas (Lei 13.434/2017 e LEP)</t>
  </si>
  <si>
    <t xml:space="preserve">Tanatologia II: cronotanatognose; fenômenos cadavéricos e estimativa do tempo de morte</t>
  </si>
  <si>
    <t xml:space="preserve">Transitividade e regência de nomes e verbos</t>
  </si>
  <si>
    <t xml:space="preserve">Proc. Penal: prova pericial; corpo de delito; cadeia de custódia (Lei 13.964/2019); identificação criminal e perfil genético (Leis 12.037/2009 e 12.654/2012)</t>
  </si>
  <si>
    <t xml:space="preserve">Tanatologia III: declaração de óbito; necessidade da necrópsia médico-legal. Infortunística: acidentes do trabalho e doenças profissionais</t>
  </si>
  <si>
    <t xml:space="preserve">Emprego do sinal indicativo de crase</t>
  </si>
  <si>
    <t xml:space="preserve">Leis especiais: Tortura (9.455/1997); Abuso de autoridade (13.869/2019); Racismo (7.716/1989)</t>
  </si>
  <si>
    <t xml:space="preserve">Toxicologia I: cáusticos e venenos; intoxicações exógenas (acidentais, suicidas, criminosas); necrópsia na suspeita de intoxicação; coleta de material toxicológico</t>
  </si>
  <si>
    <t xml:space="preserve">Padrões gerais de colocação pronominal</t>
  </si>
  <si>
    <t xml:space="preserve">Leis especiais: Drogas (11.343/2006); ECA (8.069/1990)</t>
  </si>
  <si>
    <t xml:space="preserve">Toxicologia II: estudo médico-legal do abuso de álcool e de outras drogas</t>
  </si>
  <si>
    <t xml:space="preserve">Leis especiais: Maria da Penha (11.340/2006) e Sinal Vermelho (13.505/2017, 13.894/2019, 14.188/2021); atendimento policial e pericial especializado; Estatuto do Idoso (10.741/2003); Estatuto da PcD (13.146/2015)</t>
  </si>
  <si>
    <t xml:space="preserve">Sexologia I: crimes contra a liberdade sexual; conjunção carnal e atos libidinosos; manchas de sêmen; formas de violência nos atos libidinosos</t>
  </si>
  <si>
    <t xml:space="preserve">Mecanismos de coesão textual</t>
  </si>
  <si>
    <t xml:space="preserve">Administrativo: conceito de Administração Pública; organização administrativa; ato administrativo</t>
  </si>
  <si>
    <t xml:space="preserve">Sexologia II: gravidez, parto recente e puerpério; aborto; infanticídio</t>
  </si>
  <si>
    <t xml:space="preserve">Reescrita de frases I: substituição e deslocamento</t>
  </si>
  <si>
    <t xml:space="preserve">Administrativo: poderes (hierárquico, regulamentar, disciplinar, de polícia); limites do poder de polícia; uso e abuso de poder; agentes públicos; cargo, emprego e função; responsabilidade civil do Estado</t>
  </si>
  <si>
    <t xml:space="preserve">Sexologia III: maus-tratos a vulneráveis; contágio venéreo; casamento; filiação por exame de DNA</t>
  </si>
  <si>
    <t xml:space="preserve">Reescrita de frases II: paralelismo; variação linguística e norma culta</t>
  </si>
  <si>
    <t xml:space="preserve">Estatuto dos Funcionários Públicos Civis do RJ (DL 220/1975) e Regulamento (Dec. 2.479/1979)</t>
  </si>
  <si>
    <t xml:space="preserve">Psiquiatria Forense: imputabilidade penal e capacidade civil</t>
  </si>
  <si>
    <t xml:space="preserve">Estatuto dos Policiais Civis do RJ (DL 218/1975) e Regulamento (Dec. 3.044/1979)</t>
  </si>
  <si>
    <t xml:space="preserve">Diceologia e Deontologia médicas</t>
  </si>
  <si>
    <t xml:space="preserve">Caderno de erros</t>
  </si>
  <si>
    <t xml:space="preserve">Uma linha por erro importante (ou acerto no chute). Revise na data indicada e marque ✓.</t>
  </si>
  <si>
    <t xml:space="preserve">03/11/26</t>
  </si>
  <si>
    <t xml:space="preserve">Documentos médico-legais</t>
  </si>
  <si>
    <t xml:space="preserve">Achei que parecer e laudo eram a mesma coisa</t>
  </si>
  <si>
    <t xml:space="preserve">Parecer é a opinião sobre uma perícia já feita, sem novo exame</t>
  </si>
  <si>
    <t xml:space="preserve">10/11/26</t>
  </si>
  <si>
    <t xml:space="preserve">✓</t>
  </si>
  <si>
    <t xml:space="preserve">exemplo</t>
  </si>
  <si>
    <t xml:space="preserve">Assunto</t>
  </si>
  <si>
    <t xml:space="preserve">O que eu errei</t>
  </si>
  <si>
    <t xml:space="preserve">Regra certa (uma frase)</t>
  </si>
  <si>
    <t xml:space="preserve">Revisar em</t>
  </si>
  <si>
    <t xml:space="preserve">Revisei?</t>
  </si>
  <si>
    <t xml:space="preserve">Simulados</t>
  </si>
  <si>
    <t xml:space="preserve">Escreva só quantas questões acertou em cada matéria. Na prova é preciso acertar pelo menos 50% em CADA matéria.</t>
  </si>
  <si>
    <t xml:space="preserve">Acertos ML</t>
  </si>
  <si>
    <t xml:space="preserve">de</t>
  </si>
  <si>
    <t xml:space="preserve">Acertos Port.</t>
  </si>
  <si>
    <t xml:space="preserve">Acertos Dir.</t>
  </si>
  <si>
    <t xml:space="preserve">% ML</t>
  </si>
  <si>
    <t xml:space="preserve">% Port.</t>
  </si>
  <si>
    <t xml:space="preserve">% Dir.</t>
  </si>
  <si>
    <t xml:space="preserve">% Geral</t>
  </si>
  <si>
    <t xml:space="preserve">Resultado</t>
  </si>
  <si>
    <t xml:space="preserve">Mini-simulado diagnóstico</t>
  </si>
  <si>
    <t xml:space="preserve">Simulado 1</t>
  </si>
  <si>
    <t xml:space="preserve">Simulado 2</t>
  </si>
  <si>
    <t xml:space="preserve">Simulado 3</t>
  </si>
  <si>
    <t xml:space="preserve">Extra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</si>
</sst>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dd/mm/yy"/>
    <numFmt numFmtId="167" formatCode="0"/>
    <numFmt numFmtId="168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D6B62"/>
      <name val="Arial"/>
      <family val="0"/>
      <charset val="1"/>
    </font>
    <font>
      <sz val="10"/>
      <color rgb="FF5A6863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8.5"/>
      <color rgb="FF66736F"/>
      <name val="Arial"/>
      <family val="0"/>
      <charset val="1"/>
    </font>
    <font>
      <b val="true"/>
      <sz val="16"/>
      <color rgb="FF1D6B6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888888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4C2"/>
        <bgColor rgb="FFFFF0C2"/>
      </patternFill>
    </fill>
    <fill>
      <patternFill patternType="solid">
        <fgColor rgb="FF1D6B62"/>
        <bgColor rgb="FF5A6863"/>
      </patternFill>
    </fill>
    <fill>
      <patternFill patternType="solid">
        <fgColor rgb="FFCDEBD9"/>
        <bgColor rgb="FFD3DBD8"/>
      </patternFill>
    </fill>
    <fill>
      <patternFill patternType="solid">
        <fgColor rgb="FFFFF0C2"/>
        <bgColor rgb="FFFFF4C2"/>
      </patternFill>
    </fill>
    <fill>
      <patternFill patternType="solid">
        <fgColor rgb="FFF6D3CF"/>
        <bgColor rgb="FFD9D9D9"/>
      </patternFill>
    </fill>
    <fill>
      <patternFill patternType="solid">
        <fgColor rgb="FFD6E9FF"/>
        <bgColor rgb="FFCDEBD9"/>
      </patternFill>
    </fill>
    <fill>
      <patternFill patternType="solid">
        <fgColor rgb="FFF4F7F6"/>
        <bgColor rgb="FFECEFEE"/>
      </patternFill>
    </fill>
    <fill>
      <patternFill patternType="solid">
        <fgColor rgb="FFECEFEE"/>
        <bgColor rgb="FFF4F7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BD8"/>
      </left>
      <right style="thin">
        <color rgb="FFD3DBD8"/>
      </right>
      <top style="thin">
        <color rgb="FFD3DBD8"/>
      </top>
      <bottom style="thin">
        <color rgb="FFD3DB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</font>
      <fill>
        <patternFill>
          <bgColor rgb="FFD6E9FF"/>
        </patternFill>
      </fill>
    </dxf>
    <dxf>
      <fill>
        <patternFill>
          <bgColor rgb="FFCDEBD9"/>
        </patternFill>
      </fill>
    </dxf>
    <dxf>
      <fill>
        <patternFill>
          <bgColor rgb="FFFFF0C2"/>
        </patternFill>
      </fill>
    </dxf>
    <dxf>
      <fill>
        <patternFill>
          <bgColor rgb="FFF6D3CF"/>
        </patternFill>
      </fill>
    </dxf>
    <dxf>
      <font>
        <name val="Arial"/>
        <charset val="1"/>
        <family val="0"/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A6863"/>
      <rgbColor rgb="FF800080"/>
      <rgbColor rgb="FF1D6B62"/>
      <rgbColor rgb="FFD3DBD8"/>
      <rgbColor rgb="FF878787"/>
      <rgbColor rgb="FF9999FF"/>
      <rgbColor rgb="FFC0504D"/>
      <rgbColor rgb="FFFFF4C2"/>
      <rgbColor rgb="FFD6E9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CEFEE"/>
      <rgbColor rgb="FFCDEBD9"/>
      <rgbColor rgb="FFFFF0C2"/>
      <rgbColor rgb="FFF4F7F6"/>
      <rgbColor rgb="FFFF99CC"/>
      <rgbColor rgb="FFCC99FF"/>
      <rgbColor rgb="FFF6D3CF"/>
      <rgbColor rgb="FF2F80ED"/>
      <rgbColor rgb="FF33CCCC"/>
      <rgbColor rgb="FF99CC00"/>
      <rgbColor rgb="FFF2C94C"/>
      <rgbColor rgb="FFF2994A"/>
      <rgbColor rgb="FFEB5757"/>
      <rgbColor rgb="FF66736F"/>
      <rgbColor rgb="FF888888"/>
      <rgbColor rgb="FF003366"/>
      <rgbColor rgb="FF27AE60"/>
      <rgbColor rgb="FF003300"/>
      <rgbColor rgb="FF333300"/>
      <rgbColor rgb="FF9C1C1C"/>
      <rgbColor rgb="FF9B51E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Blocos planejados x feitos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Painel!C6</c:f>
              <c:strCache>
                <c:ptCount val="1"/>
                <c:pt idx="0">
                  <c:v>Blocos planejados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Painel!$A$7:$A$32</c:f>
              <c:strCache>
                <c:ptCount val="2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  <c:pt idx="6">
                  <c:v>S7</c:v>
                </c:pt>
                <c:pt idx="7">
                  <c:v>S8</c:v>
                </c:pt>
                <c:pt idx="8">
                  <c:v>S9</c:v>
                </c:pt>
                <c:pt idx="9">
                  <c:v>S10</c:v>
                </c:pt>
                <c:pt idx="10">
                  <c:v>S11</c:v>
                </c:pt>
                <c:pt idx="11">
                  <c:v>S12</c:v>
                </c:pt>
                <c:pt idx="12">
                  <c:v>S13</c:v>
                </c:pt>
                <c:pt idx="13">
                  <c:v>S14</c:v>
                </c:pt>
                <c:pt idx="14">
                  <c:v>S15</c:v>
                </c:pt>
                <c:pt idx="15">
                  <c:v>S16</c:v>
                </c:pt>
                <c:pt idx="16">
                  <c:v>S17</c:v>
                </c:pt>
                <c:pt idx="17">
                  <c:v>S18</c:v>
                </c:pt>
                <c:pt idx="18">
                  <c:v>S19</c:v>
                </c:pt>
                <c:pt idx="19">
                  <c:v>S20</c:v>
                </c:pt>
                <c:pt idx="20">
                  <c:v>S21</c:v>
                </c:pt>
                <c:pt idx="21">
                  <c:v>S22</c:v>
                </c:pt>
                <c:pt idx="22">
                  <c:v>S23</c:v>
                </c:pt>
                <c:pt idx="23">
                  <c:v>S24</c:v>
                </c:pt>
                <c:pt idx="24">
                  <c:v>S25</c:v>
                </c:pt>
                <c:pt idx="25">
                  <c:v>S26</c:v>
                </c:pt>
              </c:strCache>
            </c:strRef>
          </c:cat>
          <c:val>
            <c:numRef>
              <c:f>Painel!$C$7:$C$32</c:f>
              <c:numCache>
                <c:formatCode>General</c:formatCode>
                <c:ptCount val="2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5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5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5</c:v>
                </c:pt>
              </c:numCache>
            </c:numRef>
          </c:val>
        </c:ser>
        <c:ser>
          <c:idx val="1"/>
          <c:order val="1"/>
          <c:tx>
            <c:strRef>
              <c:f>Painel!D6</c:f>
              <c:strCache>
                <c:ptCount val="1"/>
                <c:pt idx="0">
                  <c:v>Blocos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Painel!$A$7:$A$32</c:f>
              <c:strCache>
                <c:ptCount val="2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  <c:pt idx="6">
                  <c:v>S7</c:v>
                </c:pt>
                <c:pt idx="7">
                  <c:v>S8</c:v>
                </c:pt>
                <c:pt idx="8">
                  <c:v>S9</c:v>
                </c:pt>
                <c:pt idx="9">
                  <c:v>S10</c:v>
                </c:pt>
                <c:pt idx="10">
                  <c:v>S11</c:v>
                </c:pt>
                <c:pt idx="11">
                  <c:v>S12</c:v>
                </c:pt>
                <c:pt idx="12">
                  <c:v>S13</c:v>
                </c:pt>
                <c:pt idx="13">
                  <c:v>S14</c:v>
                </c:pt>
                <c:pt idx="14">
                  <c:v>S15</c:v>
                </c:pt>
                <c:pt idx="15">
                  <c:v>S16</c:v>
                </c:pt>
                <c:pt idx="16">
                  <c:v>S17</c:v>
                </c:pt>
                <c:pt idx="17">
                  <c:v>S18</c:v>
                </c:pt>
                <c:pt idx="18">
                  <c:v>S19</c:v>
                </c:pt>
                <c:pt idx="19">
                  <c:v>S20</c:v>
                </c:pt>
                <c:pt idx="20">
                  <c:v>S21</c:v>
                </c:pt>
                <c:pt idx="21">
                  <c:v>S22</c:v>
                </c:pt>
                <c:pt idx="22">
                  <c:v>S23</c:v>
                </c:pt>
                <c:pt idx="23">
                  <c:v>S24</c:v>
                </c:pt>
                <c:pt idx="24">
                  <c:v>S25</c:v>
                </c:pt>
                <c:pt idx="25">
                  <c:v>S26</c:v>
                </c:pt>
              </c:strCache>
            </c:strRef>
          </c:cat>
          <c:val>
            <c:numRef>
              <c:f>Painel!$D$7:$D$32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50"/>
        <c:overlap val="0"/>
        <c:axId val="66243236"/>
        <c:axId val="90717716"/>
      </c:barChart>
      <c:catAx>
        <c:axId val="662432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17716"/>
        <c:crosses val="autoZero"/>
        <c:auto val="1"/>
        <c:lblAlgn val="ctr"/>
        <c:lblOffset val="100"/>
        <c:noMultiLvlLbl val="0"/>
      </c:catAx>
      <c:valAx>
        <c:axId val="90717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432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5</xdr:row>
      <xdr:rowOff>0</xdr:rowOff>
    </xdr:from>
    <xdr:to>
      <xdr:col>23</xdr:col>
      <xdr:colOff>473040</xdr:colOff>
      <xdr:row>17</xdr:row>
      <xdr:rowOff>43200</xdr:rowOff>
    </xdr:to>
    <xdr:graphicFrame>
      <xdr:nvGraphicFramePr>
        <xdr:cNvPr id="0" name="Chart 1"/>
        <xdr:cNvGraphicFramePr/>
      </xdr:nvGraphicFramePr>
      <xdr:xfrm>
        <a:off x="12030120" y="1305000"/>
        <a:ext cx="71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6B62"/>
    <pageSetUpPr fitToPage="true"/>
  </sheetPr>
  <dimension ref="B1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2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24" hidden="false" customHeight="true" outlineLevel="0" collapsed="false">
      <c r="B4" s="3" t="s">
        <v>2</v>
      </c>
      <c r="C4" s="3"/>
    </row>
    <row r="6" customFormat="false" ht="19.5" hidden="false" customHeight="true" outlineLevel="0" collapsed="false">
      <c r="B6" s="4" t="s">
        <v>3</v>
      </c>
      <c r="C6" s="4" t="s">
        <v>4</v>
      </c>
    </row>
    <row r="7" customFormat="false" ht="33.75" hidden="false" customHeight="true" outlineLevel="0" collapsed="false">
      <c r="B7" s="5" t="s">
        <v>5</v>
      </c>
      <c r="C7" s="6" t="s">
        <v>6</v>
      </c>
    </row>
    <row r="8" customFormat="false" ht="33.75" hidden="false" customHeight="true" outlineLevel="0" collapsed="false">
      <c r="B8" s="5" t="s">
        <v>7</v>
      </c>
      <c r="C8" s="6" t="s">
        <v>8</v>
      </c>
    </row>
    <row r="9" customFormat="false" ht="33.75" hidden="false" customHeight="true" outlineLevel="0" collapsed="false">
      <c r="B9" s="5" t="s">
        <v>9</v>
      </c>
      <c r="C9" s="6" t="s">
        <v>10</v>
      </c>
    </row>
    <row r="10" customFormat="false" ht="33.75" hidden="false" customHeight="true" outlineLevel="0" collapsed="false">
      <c r="B10" s="5" t="s">
        <v>11</v>
      </c>
      <c r="C10" s="6" t="s">
        <v>12</v>
      </c>
    </row>
    <row r="11" customFormat="false" ht="33.75" hidden="false" customHeight="true" outlineLevel="0" collapsed="false">
      <c r="B11" s="5" t="s">
        <v>13</v>
      </c>
      <c r="C11" s="6" t="s">
        <v>14</v>
      </c>
    </row>
    <row r="12" customFormat="false" ht="33.75" hidden="false" customHeight="true" outlineLevel="0" collapsed="false">
      <c r="B12" s="5" t="s">
        <v>15</v>
      </c>
      <c r="C12" s="6" t="s">
        <v>16</v>
      </c>
    </row>
    <row r="14" customFormat="false" ht="15" hidden="false" customHeight="false" outlineLevel="0" collapsed="false">
      <c r="B14" s="7" t="s">
        <v>17</v>
      </c>
    </row>
    <row r="15" customFormat="false" ht="15" hidden="false" customHeight="false" outlineLevel="0" collapsed="false">
      <c r="B15" s="8" t="s">
        <v>18</v>
      </c>
      <c r="C15" s="9" t="s">
        <v>19</v>
      </c>
    </row>
    <row r="16" customFormat="false" ht="15" hidden="false" customHeight="false" outlineLevel="0" collapsed="false">
      <c r="B16" s="10" t="s">
        <v>20</v>
      </c>
      <c r="C16" s="9" t="s">
        <v>21</v>
      </c>
    </row>
    <row r="17" customFormat="false" ht="15" hidden="false" customHeight="false" outlineLevel="0" collapsed="false">
      <c r="B17" s="11" t="s">
        <v>22</v>
      </c>
      <c r="C17" s="9" t="s">
        <v>23</v>
      </c>
    </row>
    <row r="18" customFormat="false" ht="15" hidden="false" customHeight="false" outlineLevel="0" collapsed="false">
      <c r="B18" s="12" t="s">
        <v>24</v>
      </c>
      <c r="C18" s="9" t="s">
        <v>25</v>
      </c>
    </row>
    <row r="20" customFormat="false" ht="15" hidden="false" customHeight="false" outlineLevel="0" collapsed="false">
      <c r="B20" s="2" t="s">
        <v>26</v>
      </c>
    </row>
  </sheetData>
  <mergeCells count="1">
    <mergeCell ref="B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94C"/>
    <pageSetUpPr fitToPage="true"/>
  </sheetPr>
  <dimension ref="A1:N1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44"/>
    <col collapsed="false" customWidth="true" hidden="false" outlineLevel="0" max="5" min="5" style="0" width="7"/>
    <col collapsed="false" customWidth="true" hidden="false" outlineLevel="0" max="7" min="6" style="0" width="9"/>
    <col collapsed="false" customWidth="true" hidden="false" outlineLevel="0" max="8" min="8" style="0" width="44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2" min="12" style="0" width="30"/>
    <col collapsed="false" customWidth="true" hidden="true" outlineLevel="0" max="14" min="13" style="0" width="4"/>
  </cols>
  <sheetData>
    <row r="1" customFormat="false" ht="27.75" hidden="false" customHeight="tru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3" customFormat="false" ht="15" hidden="false" customHeight="false" outlineLevel="0" collapsed="false">
      <c r="A3" s="7" t="s">
        <v>29</v>
      </c>
      <c r="B3" s="13" t="n">
        <f aca="true">TODAY()</f>
        <v>46321</v>
      </c>
    </row>
    <row r="5" customFormat="false" ht="30" hidden="false" customHeight="true" outlineLevel="0" collapsed="false">
      <c r="A5" s="14" t="s">
        <v>30</v>
      </c>
      <c r="B5" s="14" t="s">
        <v>31</v>
      </c>
      <c r="C5" s="14" t="s">
        <v>32</v>
      </c>
      <c r="D5" s="14" t="s">
        <v>33</v>
      </c>
      <c r="E5" s="14" t="s">
        <v>34</v>
      </c>
      <c r="F5" s="14" t="s">
        <v>35</v>
      </c>
      <c r="G5" s="14" t="s">
        <v>36</v>
      </c>
      <c r="H5" s="14" t="s">
        <v>37</v>
      </c>
      <c r="I5" s="14" t="s">
        <v>34</v>
      </c>
      <c r="J5" s="14" t="s">
        <v>35</v>
      </c>
      <c r="K5" s="14" t="s">
        <v>36</v>
      </c>
      <c r="L5" s="14" t="s">
        <v>38</v>
      </c>
      <c r="M5" s="14" t="s">
        <v>39</v>
      </c>
      <c r="N5" s="14" t="s">
        <v>40</v>
      </c>
    </row>
    <row r="6" customFormat="false" ht="30" hidden="false" customHeight="true" outlineLevel="0" collapsed="false">
      <c r="A6" s="15" t="n">
        <v>46328</v>
      </c>
      <c r="B6" s="16" t="s">
        <v>41</v>
      </c>
      <c r="C6" s="16" t="s">
        <v>42</v>
      </c>
      <c r="D6" s="6" t="s">
        <v>43</v>
      </c>
      <c r="E6" s="17"/>
      <c r="F6" s="17"/>
      <c r="G6" s="17"/>
      <c r="H6" s="6" t="s">
        <v>44</v>
      </c>
      <c r="I6" s="17"/>
      <c r="J6" s="17"/>
      <c r="K6" s="17"/>
      <c r="L6" s="18"/>
      <c r="M6" s="19" t="s">
        <v>45</v>
      </c>
      <c r="N6" s="19" t="s">
        <v>45</v>
      </c>
    </row>
    <row r="7" customFormat="false" ht="30" hidden="false" customHeight="true" outlineLevel="0" collapsed="false">
      <c r="A7" s="15" t="n">
        <v>46330</v>
      </c>
      <c r="B7" s="16" t="s">
        <v>46</v>
      </c>
      <c r="C7" s="16" t="s">
        <v>42</v>
      </c>
      <c r="D7" s="6" t="s">
        <v>47</v>
      </c>
      <c r="E7" s="17"/>
      <c r="F7" s="17"/>
      <c r="G7" s="17"/>
      <c r="H7" s="6" t="s">
        <v>48</v>
      </c>
      <c r="I7" s="17"/>
      <c r="J7" s="17"/>
      <c r="K7" s="17"/>
      <c r="L7" s="18"/>
      <c r="M7" s="19" t="s">
        <v>49</v>
      </c>
      <c r="N7" s="19" t="s">
        <v>50</v>
      </c>
    </row>
    <row r="8" customFormat="false" ht="30" hidden="false" customHeight="true" outlineLevel="0" collapsed="false">
      <c r="A8" s="15" t="n">
        <v>46331</v>
      </c>
      <c r="B8" s="16" t="s">
        <v>51</v>
      </c>
      <c r="C8" s="16" t="s">
        <v>42</v>
      </c>
      <c r="D8" s="6" t="s">
        <v>52</v>
      </c>
      <c r="E8" s="17"/>
      <c r="F8" s="17"/>
      <c r="G8" s="17"/>
      <c r="H8" s="6" t="s">
        <v>53</v>
      </c>
      <c r="I8" s="17"/>
      <c r="J8" s="17"/>
      <c r="K8" s="17"/>
      <c r="L8" s="18"/>
      <c r="M8" s="19" t="s">
        <v>45</v>
      </c>
      <c r="N8" s="19" t="s">
        <v>49</v>
      </c>
    </row>
    <row r="9" customFormat="false" ht="30" hidden="false" customHeight="true" outlineLevel="0" collapsed="false">
      <c r="A9" s="15" t="n">
        <v>46332</v>
      </c>
      <c r="B9" s="16" t="s">
        <v>54</v>
      </c>
      <c r="C9" s="16" t="s">
        <v>42</v>
      </c>
      <c r="D9" s="6" t="s">
        <v>55</v>
      </c>
      <c r="E9" s="17"/>
      <c r="F9" s="17"/>
      <c r="G9" s="17"/>
      <c r="H9" s="6" t="s">
        <v>56</v>
      </c>
      <c r="I9" s="17"/>
      <c r="J9" s="17"/>
      <c r="K9" s="17"/>
      <c r="L9" s="18"/>
      <c r="M9" s="19" t="s">
        <v>45</v>
      </c>
      <c r="N9" s="19" t="s">
        <v>50</v>
      </c>
    </row>
    <row r="10" customFormat="false" ht="30" hidden="false" customHeight="true" outlineLevel="0" collapsed="false">
      <c r="A10" s="15" t="n">
        <v>46334</v>
      </c>
      <c r="B10" s="16" t="s">
        <v>57</v>
      </c>
      <c r="C10" s="16" t="s">
        <v>42</v>
      </c>
      <c r="D10" s="6" t="s">
        <v>58</v>
      </c>
      <c r="E10" s="17"/>
      <c r="F10" s="17"/>
      <c r="G10" s="17"/>
      <c r="H10" s="6" t="s">
        <v>59</v>
      </c>
      <c r="I10" s="17"/>
      <c r="J10" s="17"/>
      <c r="K10" s="17"/>
      <c r="L10" s="18"/>
      <c r="M10" s="19" t="s">
        <v>49</v>
      </c>
      <c r="N10" s="19" t="s">
        <v>60</v>
      </c>
    </row>
    <row r="11" customFormat="false" ht="30" hidden="false" customHeight="true" outlineLevel="0" collapsed="false">
      <c r="A11" s="20" t="n">
        <v>46335</v>
      </c>
      <c r="B11" s="21" t="s">
        <v>41</v>
      </c>
      <c r="C11" s="21" t="s">
        <v>61</v>
      </c>
      <c r="D11" s="22" t="s">
        <v>62</v>
      </c>
      <c r="E11" s="17"/>
      <c r="F11" s="17"/>
      <c r="G11" s="17"/>
      <c r="H11" s="22" t="s">
        <v>63</v>
      </c>
      <c r="I11" s="17"/>
      <c r="J11" s="17"/>
      <c r="K11" s="17"/>
      <c r="L11" s="18"/>
      <c r="M11" s="19" t="s">
        <v>45</v>
      </c>
      <c r="N11" s="19" t="s">
        <v>45</v>
      </c>
    </row>
    <row r="12" customFormat="false" ht="30" hidden="false" customHeight="true" outlineLevel="0" collapsed="false">
      <c r="A12" s="20" t="n">
        <v>46337</v>
      </c>
      <c r="B12" s="21" t="s">
        <v>46</v>
      </c>
      <c r="C12" s="21" t="s">
        <v>61</v>
      </c>
      <c r="D12" s="22" t="s">
        <v>64</v>
      </c>
      <c r="E12" s="17"/>
      <c r="F12" s="17"/>
      <c r="G12" s="17"/>
      <c r="H12" s="22" t="s">
        <v>65</v>
      </c>
      <c r="I12" s="17"/>
      <c r="J12" s="17"/>
      <c r="K12" s="17"/>
      <c r="L12" s="18"/>
      <c r="M12" s="19" t="s">
        <v>49</v>
      </c>
      <c r="N12" s="19" t="s">
        <v>50</v>
      </c>
    </row>
    <row r="13" customFormat="false" ht="30" hidden="false" customHeight="true" outlineLevel="0" collapsed="false">
      <c r="A13" s="20" t="n">
        <v>46338</v>
      </c>
      <c r="B13" s="21" t="s">
        <v>51</v>
      </c>
      <c r="C13" s="21" t="s">
        <v>61</v>
      </c>
      <c r="D13" s="22" t="s">
        <v>66</v>
      </c>
      <c r="E13" s="17"/>
      <c r="F13" s="17"/>
      <c r="G13" s="17"/>
      <c r="H13" s="22" t="s">
        <v>67</v>
      </c>
      <c r="I13" s="17"/>
      <c r="J13" s="17"/>
      <c r="K13" s="17"/>
      <c r="L13" s="18"/>
      <c r="M13" s="19" t="s">
        <v>45</v>
      </c>
      <c r="N13" s="19" t="s">
        <v>49</v>
      </c>
    </row>
    <row r="14" customFormat="false" ht="30" hidden="false" customHeight="true" outlineLevel="0" collapsed="false">
      <c r="A14" s="20" t="n">
        <v>46339</v>
      </c>
      <c r="B14" s="21" t="s">
        <v>54</v>
      </c>
      <c r="C14" s="21" t="s">
        <v>61</v>
      </c>
      <c r="D14" s="22" t="s">
        <v>68</v>
      </c>
      <c r="E14" s="17"/>
      <c r="F14" s="17"/>
      <c r="G14" s="17"/>
      <c r="H14" s="22" t="s">
        <v>69</v>
      </c>
      <c r="I14" s="17"/>
      <c r="J14" s="17"/>
      <c r="K14" s="17"/>
      <c r="L14" s="18"/>
      <c r="M14" s="19" t="s">
        <v>45</v>
      </c>
      <c r="N14" s="19" t="s">
        <v>50</v>
      </c>
    </row>
    <row r="15" customFormat="false" ht="30" hidden="false" customHeight="true" outlineLevel="0" collapsed="false">
      <c r="A15" s="20" t="n">
        <v>46341</v>
      </c>
      <c r="B15" s="21" t="s">
        <v>57</v>
      </c>
      <c r="C15" s="21" t="s">
        <v>61</v>
      </c>
      <c r="D15" s="22" t="s">
        <v>58</v>
      </c>
      <c r="E15" s="17"/>
      <c r="F15" s="17"/>
      <c r="G15" s="17"/>
      <c r="H15" s="22" t="s">
        <v>59</v>
      </c>
      <c r="I15" s="17"/>
      <c r="J15" s="17"/>
      <c r="K15" s="17"/>
      <c r="L15" s="18"/>
      <c r="M15" s="19" t="s">
        <v>49</v>
      </c>
      <c r="N15" s="19" t="s">
        <v>60</v>
      </c>
    </row>
    <row r="16" customFormat="false" ht="30" hidden="false" customHeight="true" outlineLevel="0" collapsed="false">
      <c r="A16" s="15" t="n">
        <v>46342</v>
      </c>
      <c r="B16" s="16" t="s">
        <v>41</v>
      </c>
      <c r="C16" s="16" t="s">
        <v>70</v>
      </c>
      <c r="D16" s="6" t="s">
        <v>71</v>
      </c>
      <c r="E16" s="17"/>
      <c r="F16" s="17"/>
      <c r="G16" s="17"/>
      <c r="H16" s="6" t="s">
        <v>72</v>
      </c>
      <c r="I16" s="17"/>
      <c r="J16" s="17"/>
      <c r="K16" s="17"/>
      <c r="L16" s="18"/>
      <c r="M16" s="19" t="s">
        <v>45</v>
      </c>
      <c r="N16" s="19" t="s">
        <v>45</v>
      </c>
    </row>
    <row r="17" customFormat="false" ht="30" hidden="false" customHeight="true" outlineLevel="0" collapsed="false">
      <c r="A17" s="15" t="n">
        <v>46344</v>
      </c>
      <c r="B17" s="16" t="s">
        <v>46</v>
      </c>
      <c r="C17" s="16" t="s">
        <v>70</v>
      </c>
      <c r="D17" s="6" t="s">
        <v>73</v>
      </c>
      <c r="E17" s="17"/>
      <c r="F17" s="17"/>
      <c r="G17" s="17"/>
      <c r="H17" s="6" t="s">
        <v>74</v>
      </c>
      <c r="I17" s="17"/>
      <c r="J17" s="17"/>
      <c r="K17" s="17"/>
      <c r="L17" s="18"/>
      <c r="M17" s="19" t="s">
        <v>49</v>
      </c>
      <c r="N17" s="19" t="s">
        <v>50</v>
      </c>
    </row>
    <row r="18" customFormat="false" ht="30" hidden="false" customHeight="true" outlineLevel="0" collapsed="false">
      <c r="A18" s="15" t="n">
        <v>46345</v>
      </c>
      <c r="B18" s="16" t="s">
        <v>51</v>
      </c>
      <c r="C18" s="16" t="s">
        <v>70</v>
      </c>
      <c r="D18" s="6" t="s">
        <v>75</v>
      </c>
      <c r="E18" s="17"/>
      <c r="F18" s="17"/>
      <c r="G18" s="17"/>
      <c r="H18" s="6" t="s">
        <v>76</v>
      </c>
      <c r="I18" s="17"/>
      <c r="J18" s="17"/>
      <c r="K18" s="17"/>
      <c r="L18" s="18"/>
      <c r="M18" s="19" t="s">
        <v>45</v>
      </c>
      <c r="N18" s="19" t="s">
        <v>49</v>
      </c>
    </row>
    <row r="19" customFormat="false" ht="30" hidden="false" customHeight="true" outlineLevel="0" collapsed="false">
      <c r="A19" s="15" t="n">
        <v>46346</v>
      </c>
      <c r="B19" s="16" t="s">
        <v>54</v>
      </c>
      <c r="C19" s="16" t="s">
        <v>70</v>
      </c>
      <c r="D19" s="6" t="s">
        <v>77</v>
      </c>
      <c r="E19" s="17"/>
      <c r="F19" s="17"/>
      <c r="G19" s="17"/>
      <c r="H19" s="6" t="s">
        <v>78</v>
      </c>
      <c r="I19" s="17"/>
      <c r="J19" s="17"/>
      <c r="K19" s="17"/>
      <c r="L19" s="18"/>
      <c r="M19" s="19" t="s">
        <v>45</v>
      </c>
      <c r="N19" s="19" t="s">
        <v>50</v>
      </c>
    </row>
    <row r="20" customFormat="false" ht="30" hidden="false" customHeight="true" outlineLevel="0" collapsed="false">
      <c r="A20" s="15" t="n">
        <v>46348</v>
      </c>
      <c r="B20" s="16" t="s">
        <v>57</v>
      </c>
      <c r="C20" s="16" t="s">
        <v>70</v>
      </c>
      <c r="D20" s="6" t="s">
        <v>58</v>
      </c>
      <c r="E20" s="17"/>
      <c r="F20" s="17"/>
      <c r="G20" s="17"/>
      <c r="H20" s="6" t="s">
        <v>59</v>
      </c>
      <c r="I20" s="17"/>
      <c r="J20" s="17"/>
      <c r="K20" s="17"/>
      <c r="L20" s="18"/>
      <c r="M20" s="19" t="s">
        <v>49</v>
      </c>
      <c r="N20" s="19" t="s">
        <v>60</v>
      </c>
    </row>
    <row r="21" customFormat="false" ht="30" hidden="false" customHeight="true" outlineLevel="0" collapsed="false">
      <c r="A21" s="20" t="n">
        <v>46349</v>
      </c>
      <c r="B21" s="21" t="s">
        <v>41</v>
      </c>
      <c r="C21" s="21" t="s">
        <v>79</v>
      </c>
      <c r="D21" s="22" t="s">
        <v>80</v>
      </c>
      <c r="E21" s="17"/>
      <c r="F21" s="17"/>
      <c r="G21" s="17"/>
      <c r="H21" s="22" t="s">
        <v>81</v>
      </c>
      <c r="I21" s="17"/>
      <c r="J21" s="17"/>
      <c r="K21" s="17"/>
      <c r="L21" s="18"/>
      <c r="M21" s="19" t="s">
        <v>45</v>
      </c>
      <c r="N21" s="19" t="s">
        <v>45</v>
      </c>
    </row>
    <row r="22" customFormat="false" ht="30" hidden="false" customHeight="true" outlineLevel="0" collapsed="false">
      <c r="A22" s="20" t="n">
        <v>46351</v>
      </c>
      <c r="B22" s="21" t="s">
        <v>46</v>
      </c>
      <c r="C22" s="21" t="s">
        <v>79</v>
      </c>
      <c r="D22" s="22" t="s">
        <v>82</v>
      </c>
      <c r="E22" s="17"/>
      <c r="F22" s="17"/>
      <c r="G22" s="17"/>
      <c r="H22" s="22" t="s">
        <v>83</v>
      </c>
      <c r="I22" s="17"/>
      <c r="J22" s="17"/>
      <c r="K22" s="17"/>
      <c r="L22" s="18"/>
      <c r="M22" s="19" t="s">
        <v>49</v>
      </c>
      <c r="N22" s="19" t="s">
        <v>50</v>
      </c>
    </row>
    <row r="23" customFormat="false" ht="30" hidden="false" customHeight="true" outlineLevel="0" collapsed="false">
      <c r="A23" s="20" t="n">
        <v>46352</v>
      </c>
      <c r="B23" s="21" t="s">
        <v>51</v>
      </c>
      <c r="C23" s="21" t="s">
        <v>79</v>
      </c>
      <c r="D23" s="22" t="s">
        <v>84</v>
      </c>
      <c r="E23" s="17"/>
      <c r="F23" s="17"/>
      <c r="G23" s="17"/>
      <c r="H23" s="22" t="s">
        <v>85</v>
      </c>
      <c r="I23" s="17"/>
      <c r="J23" s="17"/>
      <c r="K23" s="17"/>
      <c r="L23" s="18"/>
      <c r="M23" s="19" t="s">
        <v>45</v>
      </c>
      <c r="N23" s="19" t="s">
        <v>49</v>
      </c>
    </row>
    <row r="24" customFormat="false" ht="30" hidden="false" customHeight="true" outlineLevel="0" collapsed="false">
      <c r="A24" s="20" t="n">
        <v>46353</v>
      </c>
      <c r="B24" s="21" t="s">
        <v>54</v>
      </c>
      <c r="C24" s="21" t="s">
        <v>79</v>
      </c>
      <c r="D24" s="22" t="s">
        <v>86</v>
      </c>
      <c r="E24" s="17"/>
      <c r="F24" s="17"/>
      <c r="G24" s="17"/>
      <c r="H24" s="22" t="s">
        <v>87</v>
      </c>
      <c r="I24" s="17"/>
      <c r="J24" s="17"/>
      <c r="K24" s="17"/>
      <c r="L24" s="18"/>
      <c r="M24" s="19" t="s">
        <v>45</v>
      </c>
      <c r="N24" s="19" t="s">
        <v>50</v>
      </c>
    </row>
    <row r="25" customFormat="false" ht="30" hidden="false" customHeight="true" outlineLevel="0" collapsed="false">
      <c r="A25" s="20" t="n">
        <v>46355</v>
      </c>
      <c r="B25" s="21" t="s">
        <v>57</v>
      </c>
      <c r="C25" s="21" t="s">
        <v>79</v>
      </c>
      <c r="D25" s="22" t="s">
        <v>58</v>
      </c>
      <c r="E25" s="17"/>
      <c r="F25" s="17"/>
      <c r="G25" s="17"/>
      <c r="H25" s="22" t="s">
        <v>59</v>
      </c>
      <c r="I25" s="17"/>
      <c r="J25" s="17"/>
      <c r="K25" s="17"/>
      <c r="L25" s="18"/>
      <c r="M25" s="19" t="s">
        <v>49</v>
      </c>
      <c r="N25" s="19" t="s">
        <v>60</v>
      </c>
    </row>
    <row r="26" customFormat="false" ht="30" hidden="false" customHeight="true" outlineLevel="0" collapsed="false">
      <c r="A26" s="15" t="n">
        <v>46356</v>
      </c>
      <c r="B26" s="16" t="s">
        <v>41</v>
      </c>
      <c r="C26" s="16" t="s">
        <v>88</v>
      </c>
      <c r="D26" s="6" t="s">
        <v>89</v>
      </c>
      <c r="E26" s="17"/>
      <c r="F26" s="17"/>
      <c r="G26" s="17"/>
      <c r="H26" s="6" t="s">
        <v>90</v>
      </c>
      <c r="I26" s="17"/>
      <c r="J26" s="17"/>
      <c r="K26" s="17"/>
      <c r="L26" s="18"/>
      <c r="M26" s="19" t="s">
        <v>45</v>
      </c>
      <c r="N26" s="19" t="s">
        <v>45</v>
      </c>
    </row>
    <row r="27" customFormat="false" ht="30" hidden="false" customHeight="true" outlineLevel="0" collapsed="false">
      <c r="A27" s="15" t="n">
        <v>46358</v>
      </c>
      <c r="B27" s="16" t="s">
        <v>46</v>
      </c>
      <c r="C27" s="16" t="s">
        <v>88</v>
      </c>
      <c r="D27" s="6" t="s">
        <v>91</v>
      </c>
      <c r="E27" s="17"/>
      <c r="F27" s="17"/>
      <c r="G27" s="17"/>
      <c r="H27" s="6" t="s">
        <v>92</v>
      </c>
      <c r="I27" s="17"/>
      <c r="J27" s="17"/>
      <c r="K27" s="17"/>
      <c r="L27" s="18"/>
      <c r="M27" s="19" t="s">
        <v>49</v>
      </c>
      <c r="N27" s="19" t="s">
        <v>50</v>
      </c>
    </row>
    <row r="28" customFormat="false" ht="30" hidden="false" customHeight="true" outlineLevel="0" collapsed="false">
      <c r="A28" s="15" t="n">
        <v>46359</v>
      </c>
      <c r="B28" s="16" t="s">
        <v>51</v>
      </c>
      <c r="C28" s="16" t="s">
        <v>88</v>
      </c>
      <c r="D28" s="6" t="s">
        <v>93</v>
      </c>
      <c r="E28" s="17"/>
      <c r="F28" s="17"/>
      <c r="G28" s="17"/>
      <c r="H28" s="6" t="s">
        <v>94</v>
      </c>
      <c r="I28" s="17"/>
      <c r="J28" s="17"/>
      <c r="K28" s="17"/>
      <c r="L28" s="18"/>
      <c r="M28" s="19" t="s">
        <v>45</v>
      </c>
      <c r="N28" s="19" t="s">
        <v>49</v>
      </c>
    </row>
    <row r="29" customFormat="false" ht="30" hidden="false" customHeight="true" outlineLevel="0" collapsed="false">
      <c r="A29" s="15" t="n">
        <v>46360</v>
      </c>
      <c r="B29" s="16" t="s">
        <v>54</v>
      </c>
      <c r="C29" s="16" t="s">
        <v>88</v>
      </c>
      <c r="D29" s="6" t="s">
        <v>95</v>
      </c>
      <c r="E29" s="17"/>
      <c r="F29" s="17"/>
      <c r="G29" s="17"/>
      <c r="H29" s="6" t="s">
        <v>96</v>
      </c>
      <c r="I29" s="17"/>
      <c r="J29" s="17"/>
      <c r="K29" s="17"/>
      <c r="L29" s="18"/>
      <c r="M29" s="19" t="s">
        <v>45</v>
      </c>
      <c r="N29" s="19" t="s">
        <v>50</v>
      </c>
    </row>
    <row r="30" customFormat="false" ht="30" hidden="false" customHeight="true" outlineLevel="0" collapsed="false">
      <c r="A30" s="15" t="n">
        <v>46362</v>
      </c>
      <c r="B30" s="16" t="s">
        <v>57</v>
      </c>
      <c r="C30" s="16" t="s">
        <v>88</v>
      </c>
      <c r="D30" s="6" t="s">
        <v>58</v>
      </c>
      <c r="E30" s="17"/>
      <c r="F30" s="17"/>
      <c r="G30" s="17"/>
      <c r="H30" s="6" t="s">
        <v>59</v>
      </c>
      <c r="I30" s="17"/>
      <c r="J30" s="17"/>
      <c r="K30" s="17"/>
      <c r="L30" s="18"/>
      <c r="M30" s="19" t="s">
        <v>49</v>
      </c>
      <c r="N30" s="19" t="s">
        <v>60</v>
      </c>
    </row>
    <row r="31" customFormat="false" ht="30" hidden="false" customHeight="true" outlineLevel="0" collapsed="false">
      <c r="A31" s="20" t="n">
        <v>46363</v>
      </c>
      <c r="B31" s="21" t="s">
        <v>41</v>
      </c>
      <c r="C31" s="21" t="s">
        <v>97</v>
      </c>
      <c r="D31" s="22" t="s">
        <v>98</v>
      </c>
      <c r="E31" s="17"/>
      <c r="F31" s="17"/>
      <c r="G31" s="17"/>
      <c r="H31" s="22" t="s">
        <v>99</v>
      </c>
      <c r="I31" s="17"/>
      <c r="J31" s="17"/>
      <c r="K31" s="17"/>
      <c r="L31" s="18"/>
      <c r="M31" s="19" t="s">
        <v>45</v>
      </c>
      <c r="N31" s="19" t="s">
        <v>45</v>
      </c>
    </row>
    <row r="32" customFormat="false" ht="30" hidden="false" customHeight="true" outlineLevel="0" collapsed="false">
      <c r="A32" s="20" t="n">
        <v>46365</v>
      </c>
      <c r="B32" s="21" t="s">
        <v>46</v>
      </c>
      <c r="C32" s="21" t="s">
        <v>97</v>
      </c>
      <c r="D32" s="22" t="s">
        <v>100</v>
      </c>
      <c r="E32" s="17"/>
      <c r="F32" s="17"/>
      <c r="G32" s="17"/>
      <c r="H32" s="22" t="s">
        <v>101</v>
      </c>
      <c r="I32" s="17"/>
      <c r="J32" s="17"/>
      <c r="K32" s="17"/>
      <c r="L32" s="18"/>
      <c r="M32" s="19" t="s">
        <v>49</v>
      </c>
      <c r="N32" s="19" t="s">
        <v>50</v>
      </c>
    </row>
    <row r="33" customFormat="false" ht="30" hidden="false" customHeight="true" outlineLevel="0" collapsed="false">
      <c r="A33" s="20" t="n">
        <v>46366</v>
      </c>
      <c r="B33" s="21" t="s">
        <v>51</v>
      </c>
      <c r="C33" s="21" t="s">
        <v>97</v>
      </c>
      <c r="D33" s="22" t="s">
        <v>102</v>
      </c>
      <c r="E33" s="17"/>
      <c r="F33" s="17"/>
      <c r="G33" s="17"/>
      <c r="H33" s="22" t="s">
        <v>103</v>
      </c>
      <c r="I33" s="17"/>
      <c r="J33" s="17"/>
      <c r="K33" s="17"/>
      <c r="L33" s="18"/>
      <c r="M33" s="19" t="s">
        <v>45</v>
      </c>
      <c r="N33" s="19" t="s">
        <v>49</v>
      </c>
    </row>
    <row r="34" customFormat="false" ht="30" hidden="false" customHeight="true" outlineLevel="0" collapsed="false">
      <c r="A34" s="20" t="n">
        <v>46367</v>
      </c>
      <c r="B34" s="21" t="s">
        <v>54</v>
      </c>
      <c r="C34" s="21" t="s">
        <v>97</v>
      </c>
      <c r="D34" s="22" t="s">
        <v>104</v>
      </c>
      <c r="E34" s="17"/>
      <c r="F34" s="17"/>
      <c r="G34" s="17"/>
      <c r="H34" s="22" t="s">
        <v>105</v>
      </c>
      <c r="I34" s="17"/>
      <c r="J34" s="17"/>
      <c r="K34" s="17"/>
      <c r="L34" s="18"/>
      <c r="M34" s="19" t="s">
        <v>45</v>
      </c>
      <c r="N34" s="19" t="s">
        <v>50</v>
      </c>
    </row>
    <row r="35" customFormat="false" ht="30" hidden="false" customHeight="true" outlineLevel="0" collapsed="false">
      <c r="A35" s="20" t="n">
        <v>46369</v>
      </c>
      <c r="B35" s="21" t="s">
        <v>57</v>
      </c>
      <c r="C35" s="21" t="s">
        <v>97</v>
      </c>
      <c r="D35" s="22" t="s">
        <v>58</v>
      </c>
      <c r="E35" s="17"/>
      <c r="F35" s="17"/>
      <c r="G35" s="17"/>
      <c r="H35" s="22" t="s">
        <v>59</v>
      </c>
      <c r="I35" s="17"/>
      <c r="J35" s="17"/>
      <c r="K35" s="17"/>
      <c r="L35" s="18"/>
      <c r="M35" s="19" t="s">
        <v>49</v>
      </c>
      <c r="N35" s="19" t="s">
        <v>60</v>
      </c>
    </row>
    <row r="36" customFormat="false" ht="30" hidden="false" customHeight="true" outlineLevel="0" collapsed="false">
      <c r="A36" s="15" t="n">
        <v>46370</v>
      </c>
      <c r="B36" s="16" t="s">
        <v>41</v>
      </c>
      <c r="C36" s="16" t="s">
        <v>106</v>
      </c>
      <c r="D36" s="6" t="s">
        <v>107</v>
      </c>
      <c r="E36" s="17"/>
      <c r="F36" s="17"/>
      <c r="G36" s="17"/>
      <c r="H36" s="6" t="s">
        <v>108</v>
      </c>
      <c r="I36" s="17"/>
      <c r="J36" s="17"/>
      <c r="K36" s="17"/>
      <c r="L36" s="18"/>
      <c r="M36" s="19" t="s">
        <v>45</v>
      </c>
      <c r="N36" s="19" t="s">
        <v>45</v>
      </c>
    </row>
    <row r="37" customFormat="false" ht="30" hidden="false" customHeight="true" outlineLevel="0" collapsed="false">
      <c r="A37" s="15" t="n">
        <v>46372</v>
      </c>
      <c r="B37" s="16" t="s">
        <v>46</v>
      </c>
      <c r="C37" s="16" t="s">
        <v>106</v>
      </c>
      <c r="D37" s="6" t="s">
        <v>109</v>
      </c>
      <c r="E37" s="17"/>
      <c r="F37" s="17"/>
      <c r="G37" s="17"/>
      <c r="H37" s="6" t="s">
        <v>110</v>
      </c>
      <c r="I37" s="17"/>
      <c r="J37" s="17"/>
      <c r="K37" s="17"/>
      <c r="L37" s="18"/>
      <c r="M37" s="19" t="s">
        <v>49</v>
      </c>
      <c r="N37" s="19" t="s">
        <v>50</v>
      </c>
    </row>
    <row r="38" customFormat="false" ht="30" hidden="false" customHeight="true" outlineLevel="0" collapsed="false">
      <c r="A38" s="15" t="n">
        <v>46373</v>
      </c>
      <c r="B38" s="16" t="s">
        <v>51</v>
      </c>
      <c r="C38" s="16" t="s">
        <v>106</v>
      </c>
      <c r="D38" s="6" t="s">
        <v>111</v>
      </c>
      <c r="E38" s="17"/>
      <c r="F38" s="17"/>
      <c r="G38" s="17"/>
      <c r="H38" s="6" t="s">
        <v>112</v>
      </c>
      <c r="I38" s="17"/>
      <c r="J38" s="17"/>
      <c r="K38" s="17"/>
      <c r="L38" s="18"/>
      <c r="M38" s="19" t="s">
        <v>45</v>
      </c>
      <c r="N38" s="19" t="s">
        <v>49</v>
      </c>
    </row>
    <row r="39" customFormat="false" ht="30" hidden="false" customHeight="true" outlineLevel="0" collapsed="false">
      <c r="A39" s="15" t="n">
        <v>46374</v>
      </c>
      <c r="B39" s="16" t="s">
        <v>54</v>
      </c>
      <c r="C39" s="16" t="s">
        <v>106</v>
      </c>
      <c r="D39" s="6" t="s">
        <v>113</v>
      </c>
      <c r="E39" s="17"/>
      <c r="F39" s="17"/>
      <c r="G39" s="17"/>
      <c r="H39" s="6" t="s">
        <v>114</v>
      </c>
      <c r="I39" s="17"/>
      <c r="J39" s="17"/>
      <c r="K39" s="17"/>
      <c r="L39" s="18"/>
      <c r="M39" s="19" t="s">
        <v>45</v>
      </c>
      <c r="N39" s="19" t="s">
        <v>50</v>
      </c>
    </row>
    <row r="40" customFormat="false" ht="30" hidden="false" customHeight="true" outlineLevel="0" collapsed="false">
      <c r="A40" s="15" t="n">
        <v>46376</v>
      </c>
      <c r="B40" s="16" t="s">
        <v>57</v>
      </c>
      <c r="C40" s="16" t="s">
        <v>106</v>
      </c>
      <c r="D40" s="6" t="s">
        <v>58</v>
      </c>
      <c r="E40" s="17"/>
      <c r="F40" s="17"/>
      <c r="G40" s="17"/>
      <c r="H40" s="6" t="s">
        <v>59</v>
      </c>
      <c r="I40" s="17"/>
      <c r="J40" s="17"/>
      <c r="K40" s="17"/>
      <c r="L40" s="18"/>
      <c r="M40" s="19" t="s">
        <v>49</v>
      </c>
      <c r="N40" s="19" t="s">
        <v>60</v>
      </c>
    </row>
    <row r="41" customFormat="false" ht="30" hidden="false" customHeight="true" outlineLevel="0" collapsed="false">
      <c r="A41" s="20" t="n">
        <v>46377</v>
      </c>
      <c r="B41" s="21" t="s">
        <v>41</v>
      </c>
      <c r="C41" s="21" t="s">
        <v>115</v>
      </c>
      <c r="D41" s="22" t="s">
        <v>116</v>
      </c>
      <c r="E41" s="17"/>
      <c r="F41" s="17"/>
      <c r="G41" s="17"/>
      <c r="H41" s="23" t="s">
        <v>117</v>
      </c>
      <c r="I41" s="17"/>
      <c r="J41" s="17"/>
      <c r="K41" s="17"/>
      <c r="L41" s="18"/>
      <c r="M41" s="19" t="s">
        <v>60</v>
      </c>
      <c r="N41" s="19" t="s">
        <v>118</v>
      </c>
    </row>
    <row r="42" customFormat="false" ht="30" hidden="false" customHeight="true" outlineLevel="0" collapsed="false">
      <c r="A42" s="20" t="n">
        <v>46379</v>
      </c>
      <c r="B42" s="21" t="s">
        <v>46</v>
      </c>
      <c r="C42" s="21" t="s">
        <v>115</v>
      </c>
      <c r="D42" s="22" t="s">
        <v>116</v>
      </c>
      <c r="E42" s="17"/>
      <c r="F42" s="17"/>
      <c r="G42" s="17"/>
      <c r="H42" s="23" t="s">
        <v>117</v>
      </c>
      <c r="I42" s="17"/>
      <c r="J42" s="17"/>
      <c r="K42" s="17"/>
      <c r="L42" s="18"/>
      <c r="M42" s="19" t="s">
        <v>60</v>
      </c>
      <c r="N42" s="19" t="s">
        <v>118</v>
      </c>
    </row>
    <row r="43" customFormat="false" ht="30" hidden="false" customHeight="true" outlineLevel="0" collapsed="false">
      <c r="A43" s="20" t="n">
        <v>46380</v>
      </c>
      <c r="B43" s="21" t="s">
        <v>51</v>
      </c>
      <c r="C43" s="21" t="s">
        <v>115</v>
      </c>
      <c r="D43" s="22" t="s">
        <v>116</v>
      </c>
      <c r="E43" s="17"/>
      <c r="F43" s="17"/>
      <c r="G43" s="17"/>
      <c r="H43" s="23" t="s">
        <v>117</v>
      </c>
      <c r="I43" s="17"/>
      <c r="J43" s="17"/>
      <c r="K43" s="17"/>
      <c r="L43" s="18"/>
      <c r="M43" s="19" t="s">
        <v>60</v>
      </c>
      <c r="N43" s="19" t="s">
        <v>118</v>
      </c>
    </row>
    <row r="44" customFormat="false" ht="30" hidden="false" customHeight="true" outlineLevel="0" collapsed="false">
      <c r="A44" s="20" t="n">
        <v>46381</v>
      </c>
      <c r="B44" s="21" t="s">
        <v>54</v>
      </c>
      <c r="C44" s="21" t="s">
        <v>115</v>
      </c>
      <c r="D44" s="22" t="s">
        <v>116</v>
      </c>
      <c r="E44" s="17"/>
      <c r="F44" s="17"/>
      <c r="G44" s="17"/>
      <c r="H44" s="23" t="s">
        <v>117</v>
      </c>
      <c r="I44" s="17"/>
      <c r="J44" s="17"/>
      <c r="K44" s="17"/>
      <c r="L44" s="18"/>
      <c r="M44" s="19" t="s">
        <v>60</v>
      </c>
      <c r="N44" s="19" t="s">
        <v>118</v>
      </c>
    </row>
    <row r="45" customFormat="false" ht="30" hidden="false" customHeight="true" outlineLevel="0" collapsed="false">
      <c r="A45" s="20" t="n">
        <v>46383</v>
      </c>
      <c r="B45" s="21" t="s">
        <v>57</v>
      </c>
      <c r="C45" s="21" t="s">
        <v>115</v>
      </c>
      <c r="D45" s="22" t="s">
        <v>116</v>
      </c>
      <c r="E45" s="17"/>
      <c r="F45" s="17"/>
      <c r="G45" s="17"/>
      <c r="H45" s="23" t="s">
        <v>117</v>
      </c>
      <c r="I45" s="17"/>
      <c r="J45" s="17"/>
      <c r="K45" s="17"/>
      <c r="L45" s="18"/>
      <c r="M45" s="19" t="s">
        <v>60</v>
      </c>
      <c r="N45" s="19" t="s">
        <v>118</v>
      </c>
    </row>
    <row r="46" customFormat="false" ht="30" hidden="false" customHeight="true" outlineLevel="0" collapsed="false">
      <c r="A46" s="15" t="n">
        <v>46384</v>
      </c>
      <c r="B46" s="16" t="s">
        <v>41</v>
      </c>
      <c r="C46" s="16" t="s">
        <v>119</v>
      </c>
      <c r="D46" s="6" t="s">
        <v>120</v>
      </c>
      <c r="E46" s="17"/>
      <c r="F46" s="17"/>
      <c r="G46" s="17"/>
      <c r="H46" s="6" t="s">
        <v>121</v>
      </c>
      <c r="I46" s="17"/>
      <c r="J46" s="17"/>
      <c r="K46" s="17"/>
      <c r="L46" s="18"/>
      <c r="M46" s="19" t="s">
        <v>45</v>
      </c>
      <c r="N46" s="19" t="s">
        <v>45</v>
      </c>
    </row>
    <row r="47" customFormat="false" ht="30" hidden="false" customHeight="true" outlineLevel="0" collapsed="false">
      <c r="A47" s="15" t="n">
        <v>46386</v>
      </c>
      <c r="B47" s="16" t="s">
        <v>46</v>
      </c>
      <c r="C47" s="16" t="s">
        <v>119</v>
      </c>
      <c r="D47" s="6" t="s">
        <v>122</v>
      </c>
      <c r="E47" s="17"/>
      <c r="F47" s="17"/>
      <c r="G47" s="17"/>
      <c r="H47" s="6" t="s">
        <v>123</v>
      </c>
      <c r="I47" s="17"/>
      <c r="J47" s="17"/>
      <c r="K47" s="17"/>
      <c r="L47" s="18"/>
      <c r="M47" s="19" t="s">
        <v>49</v>
      </c>
      <c r="N47" s="19" t="s">
        <v>50</v>
      </c>
    </row>
    <row r="48" customFormat="false" ht="30" hidden="false" customHeight="true" outlineLevel="0" collapsed="false">
      <c r="A48" s="15" t="n">
        <v>46387</v>
      </c>
      <c r="B48" s="16" t="s">
        <v>51</v>
      </c>
      <c r="C48" s="16" t="s">
        <v>119</v>
      </c>
      <c r="D48" s="6" t="s">
        <v>124</v>
      </c>
      <c r="E48" s="17"/>
      <c r="F48" s="17"/>
      <c r="G48" s="17"/>
      <c r="H48" s="6" t="s">
        <v>125</v>
      </c>
      <c r="I48" s="17"/>
      <c r="J48" s="17"/>
      <c r="K48" s="17"/>
      <c r="L48" s="18"/>
      <c r="M48" s="19" t="s">
        <v>45</v>
      </c>
      <c r="N48" s="19" t="s">
        <v>49</v>
      </c>
    </row>
    <row r="49" customFormat="false" ht="30" hidden="false" customHeight="true" outlineLevel="0" collapsed="false">
      <c r="A49" s="15" t="n">
        <v>46388</v>
      </c>
      <c r="B49" s="16" t="s">
        <v>54</v>
      </c>
      <c r="C49" s="16" t="s">
        <v>119</v>
      </c>
      <c r="D49" s="6" t="s">
        <v>126</v>
      </c>
      <c r="E49" s="17"/>
      <c r="F49" s="17"/>
      <c r="G49" s="17"/>
      <c r="H49" s="6" t="s">
        <v>127</v>
      </c>
      <c r="I49" s="17"/>
      <c r="J49" s="17"/>
      <c r="K49" s="17"/>
      <c r="L49" s="18"/>
      <c r="M49" s="19" t="s">
        <v>45</v>
      </c>
      <c r="N49" s="19" t="s">
        <v>50</v>
      </c>
    </row>
    <row r="50" customFormat="false" ht="30" hidden="false" customHeight="true" outlineLevel="0" collapsed="false">
      <c r="A50" s="15" t="n">
        <v>46390</v>
      </c>
      <c r="B50" s="16" t="s">
        <v>57</v>
      </c>
      <c r="C50" s="16" t="s">
        <v>119</v>
      </c>
      <c r="D50" s="6" t="s">
        <v>58</v>
      </c>
      <c r="E50" s="17"/>
      <c r="F50" s="17"/>
      <c r="G50" s="17"/>
      <c r="H50" s="6" t="s">
        <v>59</v>
      </c>
      <c r="I50" s="17"/>
      <c r="J50" s="17"/>
      <c r="K50" s="17"/>
      <c r="L50" s="18"/>
      <c r="M50" s="19" t="s">
        <v>49</v>
      </c>
      <c r="N50" s="19" t="s">
        <v>60</v>
      </c>
    </row>
    <row r="51" customFormat="false" ht="30" hidden="false" customHeight="true" outlineLevel="0" collapsed="false">
      <c r="A51" s="20" t="n">
        <v>46391</v>
      </c>
      <c r="B51" s="21" t="s">
        <v>41</v>
      </c>
      <c r="C51" s="21" t="s">
        <v>128</v>
      </c>
      <c r="D51" s="22" t="s">
        <v>129</v>
      </c>
      <c r="E51" s="17"/>
      <c r="F51" s="17"/>
      <c r="G51" s="17"/>
      <c r="H51" s="22" t="s">
        <v>130</v>
      </c>
      <c r="I51" s="17"/>
      <c r="J51" s="17"/>
      <c r="K51" s="17"/>
      <c r="L51" s="18"/>
      <c r="M51" s="19" t="s">
        <v>45</v>
      </c>
      <c r="N51" s="19" t="s">
        <v>45</v>
      </c>
    </row>
    <row r="52" customFormat="false" ht="30" hidden="false" customHeight="true" outlineLevel="0" collapsed="false">
      <c r="A52" s="20" t="n">
        <v>46393</v>
      </c>
      <c r="B52" s="21" t="s">
        <v>46</v>
      </c>
      <c r="C52" s="21" t="s">
        <v>128</v>
      </c>
      <c r="D52" s="22" t="s">
        <v>131</v>
      </c>
      <c r="E52" s="17"/>
      <c r="F52" s="17"/>
      <c r="G52" s="17"/>
      <c r="H52" s="22" t="s">
        <v>132</v>
      </c>
      <c r="I52" s="17"/>
      <c r="J52" s="17"/>
      <c r="K52" s="17"/>
      <c r="L52" s="18"/>
      <c r="M52" s="19" t="s">
        <v>49</v>
      </c>
      <c r="N52" s="19" t="s">
        <v>50</v>
      </c>
    </row>
    <row r="53" customFormat="false" ht="30" hidden="false" customHeight="true" outlineLevel="0" collapsed="false">
      <c r="A53" s="20" t="n">
        <v>46394</v>
      </c>
      <c r="B53" s="21" t="s">
        <v>51</v>
      </c>
      <c r="C53" s="21" t="s">
        <v>128</v>
      </c>
      <c r="D53" s="22" t="s">
        <v>133</v>
      </c>
      <c r="E53" s="17"/>
      <c r="F53" s="17"/>
      <c r="G53" s="17"/>
      <c r="H53" s="22" t="s">
        <v>134</v>
      </c>
      <c r="I53" s="17"/>
      <c r="J53" s="17"/>
      <c r="K53" s="17"/>
      <c r="L53" s="18"/>
      <c r="M53" s="19" t="s">
        <v>45</v>
      </c>
      <c r="N53" s="19" t="s">
        <v>49</v>
      </c>
    </row>
    <row r="54" customFormat="false" ht="30" hidden="false" customHeight="true" outlineLevel="0" collapsed="false">
      <c r="A54" s="20" t="n">
        <v>46395</v>
      </c>
      <c r="B54" s="21" t="s">
        <v>54</v>
      </c>
      <c r="C54" s="21" t="s">
        <v>128</v>
      </c>
      <c r="D54" s="22" t="s">
        <v>135</v>
      </c>
      <c r="E54" s="17"/>
      <c r="F54" s="17"/>
      <c r="G54" s="17"/>
      <c r="H54" s="22" t="s">
        <v>136</v>
      </c>
      <c r="I54" s="17"/>
      <c r="J54" s="17"/>
      <c r="K54" s="17"/>
      <c r="L54" s="18"/>
      <c r="M54" s="19" t="s">
        <v>45</v>
      </c>
      <c r="N54" s="19" t="s">
        <v>50</v>
      </c>
    </row>
    <row r="55" customFormat="false" ht="30" hidden="false" customHeight="true" outlineLevel="0" collapsed="false">
      <c r="A55" s="20" t="n">
        <v>46397</v>
      </c>
      <c r="B55" s="21" t="s">
        <v>57</v>
      </c>
      <c r="C55" s="21" t="s">
        <v>128</v>
      </c>
      <c r="D55" s="22" t="s">
        <v>58</v>
      </c>
      <c r="E55" s="17"/>
      <c r="F55" s="17"/>
      <c r="G55" s="17"/>
      <c r="H55" s="22" t="s">
        <v>59</v>
      </c>
      <c r="I55" s="17"/>
      <c r="J55" s="17"/>
      <c r="K55" s="17"/>
      <c r="L55" s="18"/>
      <c r="M55" s="19" t="s">
        <v>49</v>
      </c>
      <c r="N55" s="19" t="s">
        <v>60</v>
      </c>
    </row>
    <row r="56" customFormat="false" ht="30" hidden="false" customHeight="true" outlineLevel="0" collapsed="false">
      <c r="A56" s="15" t="n">
        <v>46398</v>
      </c>
      <c r="B56" s="16" t="s">
        <v>41</v>
      </c>
      <c r="C56" s="16" t="s">
        <v>137</v>
      </c>
      <c r="D56" s="6" t="s">
        <v>138</v>
      </c>
      <c r="E56" s="17"/>
      <c r="F56" s="17"/>
      <c r="G56" s="17"/>
      <c r="H56" s="6" t="s">
        <v>139</v>
      </c>
      <c r="I56" s="17"/>
      <c r="J56" s="17"/>
      <c r="K56" s="17"/>
      <c r="L56" s="18"/>
      <c r="M56" s="19" t="s">
        <v>45</v>
      </c>
      <c r="N56" s="19" t="s">
        <v>45</v>
      </c>
    </row>
    <row r="57" customFormat="false" ht="30" hidden="false" customHeight="true" outlineLevel="0" collapsed="false">
      <c r="A57" s="15" t="n">
        <v>46400</v>
      </c>
      <c r="B57" s="16" t="s">
        <v>46</v>
      </c>
      <c r="C57" s="16" t="s">
        <v>137</v>
      </c>
      <c r="D57" s="6" t="s">
        <v>140</v>
      </c>
      <c r="E57" s="17"/>
      <c r="F57" s="17"/>
      <c r="G57" s="17"/>
      <c r="H57" s="6" t="s">
        <v>141</v>
      </c>
      <c r="I57" s="17"/>
      <c r="J57" s="17"/>
      <c r="K57" s="17"/>
      <c r="L57" s="18"/>
      <c r="M57" s="19" t="s">
        <v>49</v>
      </c>
      <c r="N57" s="19" t="s">
        <v>50</v>
      </c>
    </row>
    <row r="58" customFormat="false" ht="30" hidden="false" customHeight="true" outlineLevel="0" collapsed="false">
      <c r="A58" s="15" t="n">
        <v>46401</v>
      </c>
      <c r="B58" s="16" t="s">
        <v>51</v>
      </c>
      <c r="C58" s="16" t="s">
        <v>137</v>
      </c>
      <c r="D58" s="6" t="s">
        <v>142</v>
      </c>
      <c r="E58" s="17"/>
      <c r="F58" s="17"/>
      <c r="G58" s="17"/>
      <c r="H58" s="6" t="s">
        <v>143</v>
      </c>
      <c r="I58" s="17"/>
      <c r="J58" s="17"/>
      <c r="K58" s="17"/>
      <c r="L58" s="18"/>
      <c r="M58" s="19" t="s">
        <v>45</v>
      </c>
      <c r="N58" s="19" t="s">
        <v>49</v>
      </c>
    </row>
    <row r="59" customFormat="false" ht="30" hidden="false" customHeight="true" outlineLevel="0" collapsed="false">
      <c r="A59" s="15" t="n">
        <v>46402</v>
      </c>
      <c r="B59" s="16" t="s">
        <v>54</v>
      </c>
      <c r="C59" s="16" t="s">
        <v>137</v>
      </c>
      <c r="D59" s="6" t="s">
        <v>144</v>
      </c>
      <c r="E59" s="17"/>
      <c r="F59" s="17"/>
      <c r="G59" s="17"/>
      <c r="H59" s="6" t="s">
        <v>145</v>
      </c>
      <c r="I59" s="17"/>
      <c r="J59" s="17"/>
      <c r="K59" s="17"/>
      <c r="L59" s="18"/>
      <c r="M59" s="19" t="s">
        <v>45</v>
      </c>
      <c r="N59" s="19" t="s">
        <v>50</v>
      </c>
    </row>
    <row r="60" customFormat="false" ht="30" hidden="false" customHeight="true" outlineLevel="0" collapsed="false">
      <c r="A60" s="15" t="n">
        <v>46404</v>
      </c>
      <c r="B60" s="16" t="s">
        <v>57</v>
      </c>
      <c r="C60" s="16" t="s">
        <v>137</v>
      </c>
      <c r="D60" s="6" t="s">
        <v>58</v>
      </c>
      <c r="E60" s="17"/>
      <c r="F60" s="17"/>
      <c r="G60" s="17"/>
      <c r="H60" s="6" t="s">
        <v>59</v>
      </c>
      <c r="I60" s="17"/>
      <c r="J60" s="17"/>
      <c r="K60" s="17"/>
      <c r="L60" s="18"/>
      <c r="M60" s="19" t="s">
        <v>49</v>
      </c>
      <c r="N60" s="19" t="s">
        <v>60</v>
      </c>
    </row>
    <row r="61" customFormat="false" ht="30" hidden="false" customHeight="true" outlineLevel="0" collapsed="false">
      <c r="A61" s="20" t="n">
        <v>46405</v>
      </c>
      <c r="B61" s="21" t="s">
        <v>41</v>
      </c>
      <c r="C61" s="21" t="s">
        <v>146</v>
      </c>
      <c r="D61" s="22" t="s">
        <v>147</v>
      </c>
      <c r="E61" s="17"/>
      <c r="F61" s="17"/>
      <c r="G61" s="17"/>
      <c r="H61" s="22" t="s">
        <v>148</v>
      </c>
      <c r="I61" s="17"/>
      <c r="J61" s="17"/>
      <c r="K61" s="17"/>
      <c r="L61" s="18"/>
      <c r="M61" s="19" t="s">
        <v>45</v>
      </c>
      <c r="N61" s="19" t="s">
        <v>45</v>
      </c>
    </row>
    <row r="62" customFormat="false" ht="30" hidden="false" customHeight="true" outlineLevel="0" collapsed="false">
      <c r="A62" s="20" t="n">
        <v>46407</v>
      </c>
      <c r="B62" s="21" t="s">
        <v>46</v>
      </c>
      <c r="C62" s="21" t="s">
        <v>146</v>
      </c>
      <c r="D62" s="22" t="s">
        <v>149</v>
      </c>
      <c r="E62" s="17"/>
      <c r="F62" s="17"/>
      <c r="G62" s="17"/>
      <c r="H62" s="22" t="s">
        <v>150</v>
      </c>
      <c r="I62" s="17"/>
      <c r="J62" s="17"/>
      <c r="K62" s="17"/>
      <c r="L62" s="18"/>
      <c r="M62" s="19" t="s">
        <v>49</v>
      </c>
      <c r="N62" s="19" t="s">
        <v>50</v>
      </c>
    </row>
    <row r="63" customFormat="false" ht="30" hidden="false" customHeight="true" outlineLevel="0" collapsed="false">
      <c r="A63" s="20" t="n">
        <v>46408</v>
      </c>
      <c r="B63" s="21" t="s">
        <v>51</v>
      </c>
      <c r="C63" s="21" t="s">
        <v>146</v>
      </c>
      <c r="D63" s="22" t="s">
        <v>151</v>
      </c>
      <c r="E63" s="17"/>
      <c r="F63" s="17"/>
      <c r="G63" s="17"/>
      <c r="H63" s="22" t="s">
        <v>152</v>
      </c>
      <c r="I63" s="17"/>
      <c r="J63" s="17"/>
      <c r="K63" s="17"/>
      <c r="L63" s="18"/>
      <c r="M63" s="19" t="s">
        <v>45</v>
      </c>
      <c r="N63" s="19" t="s">
        <v>49</v>
      </c>
    </row>
    <row r="64" customFormat="false" ht="30" hidden="false" customHeight="true" outlineLevel="0" collapsed="false">
      <c r="A64" s="20" t="n">
        <v>46409</v>
      </c>
      <c r="B64" s="21" t="s">
        <v>54</v>
      </c>
      <c r="C64" s="21" t="s">
        <v>146</v>
      </c>
      <c r="D64" s="22" t="s">
        <v>153</v>
      </c>
      <c r="E64" s="17"/>
      <c r="F64" s="17"/>
      <c r="G64" s="17"/>
      <c r="H64" s="22" t="s">
        <v>154</v>
      </c>
      <c r="I64" s="17"/>
      <c r="J64" s="17"/>
      <c r="K64" s="17"/>
      <c r="L64" s="18"/>
      <c r="M64" s="19" t="s">
        <v>45</v>
      </c>
      <c r="N64" s="19" t="s">
        <v>50</v>
      </c>
    </row>
    <row r="65" customFormat="false" ht="30" hidden="false" customHeight="true" outlineLevel="0" collapsed="false">
      <c r="A65" s="20" t="n">
        <v>46411</v>
      </c>
      <c r="B65" s="21" t="s">
        <v>57</v>
      </c>
      <c r="C65" s="21" t="s">
        <v>146</v>
      </c>
      <c r="D65" s="22" t="s">
        <v>58</v>
      </c>
      <c r="E65" s="17"/>
      <c r="F65" s="17"/>
      <c r="G65" s="17"/>
      <c r="H65" s="22" t="s">
        <v>59</v>
      </c>
      <c r="I65" s="17"/>
      <c r="J65" s="17"/>
      <c r="K65" s="17"/>
      <c r="L65" s="18"/>
      <c r="M65" s="19" t="s">
        <v>49</v>
      </c>
      <c r="N65" s="19" t="s">
        <v>60</v>
      </c>
    </row>
    <row r="66" customFormat="false" ht="30" hidden="false" customHeight="true" outlineLevel="0" collapsed="false">
      <c r="A66" s="15" t="n">
        <v>46412</v>
      </c>
      <c r="B66" s="16" t="s">
        <v>41</v>
      </c>
      <c r="C66" s="16" t="s">
        <v>155</v>
      </c>
      <c r="D66" s="6" t="s">
        <v>156</v>
      </c>
      <c r="E66" s="17"/>
      <c r="F66" s="17"/>
      <c r="G66" s="17"/>
      <c r="H66" s="6" t="s">
        <v>157</v>
      </c>
      <c r="I66" s="17"/>
      <c r="J66" s="17"/>
      <c r="K66" s="17"/>
      <c r="L66" s="18"/>
      <c r="M66" s="19" t="s">
        <v>45</v>
      </c>
      <c r="N66" s="19" t="s">
        <v>45</v>
      </c>
    </row>
    <row r="67" customFormat="false" ht="30" hidden="false" customHeight="true" outlineLevel="0" collapsed="false">
      <c r="A67" s="15" t="n">
        <v>46414</v>
      </c>
      <c r="B67" s="16" t="s">
        <v>46</v>
      </c>
      <c r="C67" s="16" t="s">
        <v>155</v>
      </c>
      <c r="D67" s="6" t="s">
        <v>158</v>
      </c>
      <c r="E67" s="17"/>
      <c r="F67" s="17"/>
      <c r="G67" s="17"/>
      <c r="H67" s="6" t="s">
        <v>159</v>
      </c>
      <c r="I67" s="17"/>
      <c r="J67" s="17"/>
      <c r="K67" s="17"/>
      <c r="L67" s="18"/>
      <c r="M67" s="19" t="s">
        <v>49</v>
      </c>
      <c r="N67" s="19" t="s">
        <v>50</v>
      </c>
    </row>
    <row r="68" customFormat="false" ht="30" hidden="false" customHeight="true" outlineLevel="0" collapsed="false">
      <c r="A68" s="15" t="n">
        <v>46415</v>
      </c>
      <c r="B68" s="16" t="s">
        <v>51</v>
      </c>
      <c r="C68" s="16" t="s">
        <v>155</v>
      </c>
      <c r="D68" s="6" t="s">
        <v>160</v>
      </c>
      <c r="E68" s="17"/>
      <c r="F68" s="17"/>
      <c r="G68" s="17"/>
      <c r="H68" s="6" t="s">
        <v>161</v>
      </c>
      <c r="I68" s="17"/>
      <c r="J68" s="17"/>
      <c r="K68" s="17"/>
      <c r="L68" s="18"/>
      <c r="M68" s="19" t="s">
        <v>45</v>
      </c>
      <c r="N68" s="19" t="s">
        <v>49</v>
      </c>
    </row>
    <row r="69" customFormat="false" ht="30" hidden="false" customHeight="true" outlineLevel="0" collapsed="false">
      <c r="A69" s="15" t="n">
        <v>46416</v>
      </c>
      <c r="B69" s="16" t="s">
        <v>54</v>
      </c>
      <c r="C69" s="16" t="s">
        <v>155</v>
      </c>
      <c r="D69" s="6" t="s">
        <v>162</v>
      </c>
      <c r="E69" s="17"/>
      <c r="F69" s="17"/>
      <c r="G69" s="17"/>
      <c r="H69" s="6" t="s">
        <v>163</v>
      </c>
      <c r="I69" s="17"/>
      <c r="J69" s="17"/>
      <c r="K69" s="17"/>
      <c r="L69" s="18"/>
      <c r="M69" s="19" t="s">
        <v>45</v>
      </c>
      <c r="N69" s="19" t="s">
        <v>50</v>
      </c>
    </row>
    <row r="70" customFormat="false" ht="30" hidden="false" customHeight="true" outlineLevel="0" collapsed="false">
      <c r="A70" s="15" t="n">
        <v>46418</v>
      </c>
      <c r="B70" s="16" t="s">
        <v>57</v>
      </c>
      <c r="C70" s="16" t="s">
        <v>155</v>
      </c>
      <c r="D70" s="6" t="s">
        <v>164</v>
      </c>
      <c r="E70" s="17"/>
      <c r="F70" s="17"/>
      <c r="G70" s="17"/>
      <c r="H70" s="6" t="s">
        <v>165</v>
      </c>
      <c r="I70" s="17"/>
      <c r="J70" s="17"/>
      <c r="K70" s="17"/>
      <c r="L70" s="18"/>
      <c r="M70" s="19" t="s">
        <v>166</v>
      </c>
      <c r="N70" s="19" t="s">
        <v>166</v>
      </c>
    </row>
    <row r="71" customFormat="false" ht="30" hidden="false" customHeight="true" outlineLevel="0" collapsed="false">
      <c r="A71" s="20" t="n">
        <v>46419</v>
      </c>
      <c r="B71" s="21" t="s">
        <v>41</v>
      </c>
      <c r="C71" s="21" t="s">
        <v>167</v>
      </c>
      <c r="D71" s="22" t="s">
        <v>168</v>
      </c>
      <c r="E71" s="17"/>
      <c r="F71" s="17"/>
      <c r="G71" s="17"/>
      <c r="H71" s="22" t="s">
        <v>169</v>
      </c>
      <c r="I71" s="17"/>
      <c r="J71" s="17"/>
      <c r="K71" s="17"/>
      <c r="L71" s="18"/>
      <c r="M71" s="19" t="s">
        <v>45</v>
      </c>
      <c r="N71" s="19" t="s">
        <v>45</v>
      </c>
    </row>
    <row r="72" customFormat="false" ht="30" hidden="false" customHeight="true" outlineLevel="0" collapsed="false">
      <c r="A72" s="20" t="n">
        <v>46421</v>
      </c>
      <c r="B72" s="21" t="s">
        <v>46</v>
      </c>
      <c r="C72" s="21" t="s">
        <v>167</v>
      </c>
      <c r="D72" s="22" t="s">
        <v>170</v>
      </c>
      <c r="E72" s="17"/>
      <c r="F72" s="17"/>
      <c r="G72" s="17"/>
      <c r="H72" s="22" t="s">
        <v>171</v>
      </c>
      <c r="I72" s="17"/>
      <c r="J72" s="17"/>
      <c r="K72" s="17"/>
      <c r="L72" s="18"/>
      <c r="M72" s="19" t="s">
        <v>49</v>
      </c>
      <c r="N72" s="19" t="s">
        <v>50</v>
      </c>
    </row>
    <row r="73" customFormat="false" ht="30" hidden="false" customHeight="true" outlineLevel="0" collapsed="false">
      <c r="A73" s="20" t="n">
        <v>46422</v>
      </c>
      <c r="B73" s="21" t="s">
        <v>51</v>
      </c>
      <c r="C73" s="21" t="s">
        <v>167</v>
      </c>
      <c r="D73" s="22" t="s">
        <v>172</v>
      </c>
      <c r="E73" s="17"/>
      <c r="F73" s="17"/>
      <c r="G73" s="17"/>
      <c r="H73" s="22" t="s">
        <v>173</v>
      </c>
      <c r="I73" s="17"/>
      <c r="J73" s="17"/>
      <c r="K73" s="17"/>
      <c r="L73" s="18"/>
      <c r="M73" s="19" t="s">
        <v>45</v>
      </c>
      <c r="N73" s="19" t="s">
        <v>49</v>
      </c>
    </row>
    <row r="74" customFormat="false" ht="30" hidden="false" customHeight="true" outlineLevel="0" collapsed="false">
      <c r="A74" s="20" t="n">
        <v>46423</v>
      </c>
      <c r="B74" s="21" t="s">
        <v>54</v>
      </c>
      <c r="C74" s="21" t="s">
        <v>167</v>
      </c>
      <c r="D74" s="22" t="s">
        <v>174</v>
      </c>
      <c r="E74" s="17"/>
      <c r="F74" s="17"/>
      <c r="G74" s="17"/>
      <c r="H74" s="22" t="s">
        <v>175</v>
      </c>
      <c r="I74" s="17"/>
      <c r="J74" s="17"/>
      <c r="K74" s="17"/>
      <c r="L74" s="18"/>
      <c r="M74" s="19" t="s">
        <v>45</v>
      </c>
      <c r="N74" s="19" t="s">
        <v>50</v>
      </c>
    </row>
    <row r="75" customFormat="false" ht="30" hidden="false" customHeight="true" outlineLevel="0" collapsed="false">
      <c r="A75" s="20" t="n">
        <v>46425</v>
      </c>
      <c r="B75" s="21" t="s">
        <v>57</v>
      </c>
      <c r="C75" s="21" t="s">
        <v>167</v>
      </c>
      <c r="D75" s="22" t="s">
        <v>58</v>
      </c>
      <c r="E75" s="17"/>
      <c r="F75" s="17"/>
      <c r="G75" s="17"/>
      <c r="H75" s="22" t="s">
        <v>59</v>
      </c>
      <c r="I75" s="17"/>
      <c r="J75" s="17"/>
      <c r="K75" s="17"/>
      <c r="L75" s="18"/>
      <c r="M75" s="19" t="s">
        <v>49</v>
      </c>
      <c r="N75" s="19" t="s">
        <v>60</v>
      </c>
    </row>
    <row r="76" customFormat="false" ht="30" hidden="false" customHeight="true" outlineLevel="0" collapsed="false">
      <c r="A76" s="15" t="n">
        <v>46426</v>
      </c>
      <c r="B76" s="16" t="s">
        <v>41</v>
      </c>
      <c r="C76" s="16" t="s">
        <v>176</v>
      </c>
      <c r="D76" s="6" t="s">
        <v>116</v>
      </c>
      <c r="E76" s="17"/>
      <c r="F76" s="17"/>
      <c r="G76" s="17"/>
      <c r="H76" s="23" t="s">
        <v>117</v>
      </c>
      <c r="I76" s="17"/>
      <c r="J76" s="17"/>
      <c r="K76" s="17"/>
      <c r="L76" s="18"/>
      <c r="M76" s="19" t="s">
        <v>60</v>
      </c>
      <c r="N76" s="19" t="s">
        <v>118</v>
      </c>
    </row>
    <row r="77" customFormat="false" ht="30" hidden="false" customHeight="true" outlineLevel="0" collapsed="false">
      <c r="A77" s="15" t="n">
        <v>46428</v>
      </c>
      <c r="B77" s="16" t="s">
        <v>46</v>
      </c>
      <c r="C77" s="16" t="s">
        <v>176</v>
      </c>
      <c r="D77" s="6" t="s">
        <v>116</v>
      </c>
      <c r="E77" s="17"/>
      <c r="F77" s="17"/>
      <c r="G77" s="17"/>
      <c r="H77" s="23" t="s">
        <v>117</v>
      </c>
      <c r="I77" s="17"/>
      <c r="J77" s="17"/>
      <c r="K77" s="17"/>
      <c r="L77" s="18"/>
      <c r="M77" s="19" t="s">
        <v>60</v>
      </c>
      <c r="N77" s="19" t="s">
        <v>118</v>
      </c>
    </row>
    <row r="78" customFormat="false" ht="30" hidden="false" customHeight="true" outlineLevel="0" collapsed="false">
      <c r="A78" s="15" t="n">
        <v>46429</v>
      </c>
      <c r="B78" s="16" t="s">
        <v>51</v>
      </c>
      <c r="C78" s="16" t="s">
        <v>176</v>
      </c>
      <c r="D78" s="6" t="s">
        <v>116</v>
      </c>
      <c r="E78" s="17"/>
      <c r="F78" s="17"/>
      <c r="G78" s="17"/>
      <c r="H78" s="23" t="s">
        <v>117</v>
      </c>
      <c r="I78" s="17"/>
      <c r="J78" s="17"/>
      <c r="K78" s="17"/>
      <c r="L78" s="18"/>
      <c r="M78" s="19" t="s">
        <v>60</v>
      </c>
      <c r="N78" s="19" t="s">
        <v>118</v>
      </c>
    </row>
    <row r="79" customFormat="false" ht="30" hidden="false" customHeight="true" outlineLevel="0" collapsed="false">
      <c r="A79" s="15" t="n">
        <v>46430</v>
      </c>
      <c r="B79" s="16" t="s">
        <v>54</v>
      </c>
      <c r="C79" s="16" t="s">
        <v>176</v>
      </c>
      <c r="D79" s="6" t="s">
        <v>116</v>
      </c>
      <c r="E79" s="17"/>
      <c r="F79" s="17"/>
      <c r="G79" s="17"/>
      <c r="H79" s="23" t="s">
        <v>117</v>
      </c>
      <c r="I79" s="17"/>
      <c r="J79" s="17"/>
      <c r="K79" s="17"/>
      <c r="L79" s="18"/>
      <c r="M79" s="19" t="s">
        <v>60</v>
      </c>
      <c r="N79" s="19" t="s">
        <v>118</v>
      </c>
    </row>
    <row r="80" customFormat="false" ht="30" hidden="false" customHeight="true" outlineLevel="0" collapsed="false">
      <c r="A80" s="15" t="n">
        <v>46432</v>
      </c>
      <c r="B80" s="16" t="s">
        <v>57</v>
      </c>
      <c r="C80" s="16" t="s">
        <v>176</v>
      </c>
      <c r="D80" s="6" t="s">
        <v>116</v>
      </c>
      <c r="E80" s="17"/>
      <c r="F80" s="17"/>
      <c r="G80" s="17"/>
      <c r="H80" s="23" t="s">
        <v>117</v>
      </c>
      <c r="I80" s="17"/>
      <c r="J80" s="17"/>
      <c r="K80" s="17"/>
      <c r="L80" s="18"/>
      <c r="M80" s="19" t="s">
        <v>60</v>
      </c>
      <c r="N80" s="19" t="s">
        <v>118</v>
      </c>
    </row>
    <row r="81" customFormat="false" ht="30" hidden="false" customHeight="true" outlineLevel="0" collapsed="false">
      <c r="A81" s="20" t="n">
        <v>46433</v>
      </c>
      <c r="B81" s="21" t="s">
        <v>41</v>
      </c>
      <c r="C81" s="21" t="s">
        <v>177</v>
      </c>
      <c r="D81" s="22" t="s">
        <v>178</v>
      </c>
      <c r="E81" s="17"/>
      <c r="F81" s="17"/>
      <c r="G81" s="17"/>
      <c r="H81" s="22" t="s">
        <v>179</v>
      </c>
      <c r="I81" s="17"/>
      <c r="J81" s="17"/>
      <c r="K81" s="17"/>
      <c r="L81" s="18"/>
      <c r="M81" s="19" t="s">
        <v>45</v>
      </c>
      <c r="N81" s="19" t="s">
        <v>45</v>
      </c>
    </row>
    <row r="82" customFormat="false" ht="30" hidden="false" customHeight="true" outlineLevel="0" collapsed="false">
      <c r="A82" s="20" t="n">
        <v>46435</v>
      </c>
      <c r="B82" s="21" t="s">
        <v>46</v>
      </c>
      <c r="C82" s="21" t="s">
        <v>177</v>
      </c>
      <c r="D82" s="22" t="s">
        <v>180</v>
      </c>
      <c r="E82" s="17"/>
      <c r="F82" s="17"/>
      <c r="G82" s="17"/>
      <c r="H82" s="22" t="s">
        <v>181</v>
      </c>
      <c r="I82" s="17"/>
      <c r="J82" s="17"/>
      <c r="K82" s="17"/>
      <c r="L82" s="18"/>
      <c r="M82" s="19" t="s">
        <v>49</v>
      </c>
      <c r="N82" s="19" t="s">
        <v>50</v>
      </c>
    </row>
    <row r="83" customFormat="false" ht="30" hidden="false" customHeight="true" outlineLevel="0" collapsed="false">
      <c r="A83" s="20" t="n">
        <v>46436</v>
      </c>
      <c r="B83" s="21" t="s">
        <v>51</v>
      </c>
      <c r="C83" s="21" t="s">
        <v>177</v>
      </c>
      <c r="D83" s="22" t="s">
        <v>182</v>
      </c>
      <c r="E83" s="17"/>
      <c r="F83" s="17"/>
      <c r="G83" s="17"/>
      <c r="H83" s="22" t="s">
        <v>183</v>
      </c>
      <c r="I83" s="17"/>
      <c r="J83" s="17"/>
      <c r="K83" s="17"/>
      <c r="L83" s="18"/>
      <c r="M83" s="19" t="s">
        <v>45</v>
      </c>
      <c r="N83" s="19" t="s">
        <v>49</v>
      </c>
    </row>
    <row r="84" customFormat="false" ht="30" hidden="false" customHeight="true" outlineLevel="0" collapsed="false">
      <c r="A84" s="20" t="n">
        <v>46437</v>
      </c>
      <c r="B84" s="21" t="s">
        <v>54</v>
      </c>
      <c r="C84" s="21" t="s">
        <v>177</v>
      </c>
      <c r="D84" s="22" t="s">
        <v>184</v>
      </c>
      <c r="E84" s="17"/>
      <c r="F84" s="17"/>
      <c r="G84" s="17"/>
      <c r="H84" s="22" t="s">
        <v>185</v>
      </c>
      <c r="I84" s="17"/>
      <c r="J84" s="17"/>
      <c r="K84" s="17"/>
      <c r="L84" s="18"/>
      <c r="M84" s="19" t="s">
        <v>45</v>
      </c>
      <c r="N84" s="19" t="s">
        <v>50</v>
      </c>
    </row>
    <row r="85" customFormat="false" ht="30" hidden="false" customHeight="true" outlineLevel="0" collapsed="false">
      <c r="A85" s="20" t="n">
        <v>46439</v>
      </c>
      <c r="B85" s="21" t="s">
        <v>57</v>
      </c>
      <c r="C85" s="21" t="s">
        <v>177</v>
      </c>
      <c r="D85" s="22" t="s">
        <v>58</v>
      </c>
      <c r="E85" s="17"/>
      <c r="F85" s="17"/>
      <c r="G85" s="17"/>
      <c r="H85" s="22" t="s">
        <v>59</v>
      </c>
      <c r="I85" s="17"/>
      <c r="J85" s="17"/>
      <c r="K85" s="17"/>
      <c r="L85" s="18"/>
      <c r="M85" s="19" t="s">
        <v>49</v>
      </c>
      <c r="N85" s="19" t="s">
        <v>60</v>
      </c>
    </row>
    <row r="86" customFormat="false" ht="30" hidden="false" customHeight="true" outlineLevel="0" collapsed="false">
      <c r="A86" s="15" t="n">
        <v>46440</v>
      </c>
      <c r="B86" s="16" t="s">
        <v>41</v>
      </c>
      <c r="C86" s="16" t="s">
        <v>186</v>
      </c>
      <c r="D86" s="6" t="s">
        <v>187</v>
      </c>
      <c r="E86" s="17"/>
      <c r="F86" s="17"/>
      <c r="G86" s="17"/>
      <c r="H86" s="6" t="s">
        <v>188</v>
      </c>
      <c r="I86" s="17"/>
      <c r="J86" s="17"/>
      <c r="K86" s="17"/>
      <c r="L86" s="18"/>
      <c r="M86" s="19" t="s">
        <v>45</v>
      </c>
      <c r="N86" s="19" t="s">
        <v>45</v>
      </c>
    </row>
    <row r="87" customFormat="false" ht="30" hidden="false" customHeight="true" outlineLevel="0" collapsed="false">
      <c r="A87" s="15" t="n">
        <v>46442</v>
      </c>
      <c r="B87" s="16" t="s">
        <v>46</v>
      </c>
      <c r="C87" s="16" t="s">
        <v>186</v>
      </c>
      <c r="D87" s="6" t="s">
        <v>189</v>
      </c>
      <c r="E87" s="17"/>
      <c r="F87" s="17"/>
      <c r="G87" s="17"/>
      <c r="H87" s="6" t="s">
        <v>190</v>
      </c>
      <c r="I87" s="17"/>
      <c r="J87" s="17"/>
      <c r="K87" s="17"/>
      <c r="L87" s="18"/>
      <c r="M87" s="19" t="s">
        <v>49</v>
      </c>
      <c r="N87" s="19" t="s">
        <v>50</v>
      </c>
    </row>
    <row r="88" customFormat="false" ht="30" hidden="false" customHeight="true" outlineLevel="0" collapsed="false">
      <c r="A88" s="15" t="n">
        <v>46443</v>
      </c>
      <c r="B88" s="16" t="s">
        <v>51</v>
      </c>
      <c r="C88" s="16" t="s">
        <v>186</v>
      </c>
      <c r="D88" s="6" t="s">
        <v>191</v>
      </c>
      <c r="E88" s="17"/>
      <c r="F88" s="17"/>
      <c r="G88" s="17"/>
      <c r="H88" s="6" t="s">
        <v>192</v>
      </c>
      <c r="I88" s="17"/>
      <c r="J88" s="17"/>
      <c r="K88" s="17"/>
      <c r="L88" s="18"/>
      <c r="M88" s="19" t="s">
        <v>45</v>
      </c>
      <c r="N88" s="19" t="s">
        <v>49</v>
      </c>
    </row>
    <row r="89" customFormat="false" ht="30" hidden="false" customHeight="true" outlineLevel="0" collapsed="false">
      <c r="A89" s="15" t="n">
        <v>46444</v>
      </c>
      <c r="B89" s="16" t="s">
        <v>54</v>
      </c>
      <c r="C89" s="16" t="s">
        <v>186</v>
      </c>
      <c r="D89" s="6" t="s">
        <v>193</v>
      </c>
      <c r="E89" s="17"/>
      <c r="F89" s="17"/>
      <c r="G89" s="17"/>
      <c r="H89" s="6" t="s">
        <v>194</v>
      </c>
      <c r="I89" s="17"/>
      <c r="J89" s="17"/>
      <c r="K89" s="17"/>
      <c r="L89" s="18"/>
      <c r="M89" s="19" t="s">
        <v>45</v>
      </c>
      <c r="N89" s="19" t="s">
        <v>50</v>
      </c>
    </row>
    <row r="90" customFormat="false" ht="30" hidden="false" customHeight="true" outlineLevel="0" collapsed="false">
      <c r="A90" s="15" t="n">
        <v>46446</v>
      </c>
      <c r="B90" s="16" t="s">
        <v>57</v>
      </c>
      <c r="C90" s="16" t="s">
        <v>186</v>
      </c>
      <c r="D90" s="6" t="s">
        <v>58</v>
      </c>
      <c r="E90" s="17"/>
      <c r="F90" s="17"/>
      <c r="G90" s="17"/>
      <c r="H90" s="6" t="s">
        <v>59</v>
      </c>
      <c r="I90" s="17"/>
      <c r="J90" s="17"/>
      <c r="K90" s="17"/>
      <c r="L90" s="18"/>
      <c r="M90" s="19" t="s">
        <v>49</v>
      </c>
      <c r="N90" s="19" t="s">
        <v>60</v>
      </c>
    </row>
    <row r="91" customFormat="false" ht="30" hidden="false" customHeight="true" outlineLevel="0" collapsed="false">
      <c r="A91" s="20" t="n">
        <v>46447</v>
      </c>
      <c r="B91" s="21" t="s">
        <v>41</v>
      </c>
      <c r="C91" s="21" t="s">
        <v>195</v>
      </c>
      <c r="D91" s="22" t="s">
        <v>196</v>
      </c>
      <c r="E91" s="17"/>
      <c r="F91" s="17"/>
      <c r="G91" s="17"/>
      <c r="H91" s="22" t="s">
        <v>197</v>
      </c>
      <c r="I91" s="17"/>
      <c r="J91" s="17"/>
      <c r="K91" s="17"/>
      <c r="L91" s="18"/>
      <c r="M91" s="19" t="s">
        <v>45</v>
      </c>
      <c r="N91" s="19" t="s">
        <v>45</v>
      </c>
    </row>
    <row r="92" customFormat="false" ht="30" hidden="false" customHeight="true" outlineLevel="0" collapsed="false">
      <c r="A92" s="20" t="n">
        <v>46449</v>
      </c>
      <c r="B92" s="21" t="s">
        <v>46</v>
      </c>
      <c r="C92" s="21" t="s">
        <v>195</v>
      </c>
      <c r="D92" s="22" t="s">
        <v>198</v>
      </c>
      <c r="E92" s="17"/>
      <c r="F92" s="17"/>
      <c r="G92" s="17"/>
      <c r="H92" s="22" t="s">
        <v>199</v>
      </c>
      <c r="I92" s="17"/>
      <c r="J92" s="17"/>
      <c r="K92" s="17"/>
      <c r="L92" s="18"/>
      <c r="M92" s="19" t="s">
        <v>49</v>
      </c>
      <c r="N92" s="19" t="s">
        <v>50</v>
      </c>
    </row>
    <row r="93" customFormat="false" ht="30" hidden="false" customHeight="true" outlineLevel="0" collapsed="false">
      <c r="A93" s="20" t="n">
        <v>46450</v>
      </c>
      <c r="B93" s="21" t="s">
        <v>51</v>
      </c>
      <c r="C93" s="21" t="s">
        <v>195</v>
      </c>
      <c r="D93" s="22" t="s">
        <v>200</v>
      </c>
      <c r="E93" s="17"/>
      <c r="F93" s="17"/>
      <c r="G93" s="17"/>
      <c r="H93" s="22" t="s">
        <v>201</v>
      </c>
      <c r="I93" s="17"/>
      <c r="J93" s="17"/>
      <c r="K93" s="17"/>
      <c r="L93" s="18"/>
      <c r="M93" s="19" t="s">
        <v>45</v>
      </c>
      <c r="N93" s="19" t="s">
        <v>49</v>
      </c>
    </row>
    <row r="94" customFormat="false" ht="30" hidden="false" customHeight="true" outlineLevel="0" collapsed="false">
      <c r="A94" s="20" t="n">
        <v>46451</v>
      </c>
      <c r="B94" s="21" t="s">
        <v>54</v>
      </c>
      <c r="C94" s="21" t="s">
        <v>195</v>
      </c>
      <c r="D94" s="22" t="s">
        <v>202</v>
      </c>
      <c r="E94" s="17"/>
      <c r="F94" s="17"/>
      <c r="G94" s="17"/>
      <c r="H94" s="22" t="s">
        <v>203</v>
      </c>
      <c r="I94" s="17"/>
      <c r="J94" s="17"/>
      <c r="K94" s="17"/>
      <c r="L94" s="18"/>
      <c r="M94" s="19" t="s">
        <v>45</v>
      </c>
      <c r="N94" s="19" t="s">
        <v>50</v>
      </c>
    </row>
    <row r="95" customFormat="false" ht="30" hidden="false" customHeight="true" outlineLevel="0" collapsed="false">
      <c r="A95" s="20" t="n">
        <v>46453</v>
      </c>
      <c r="B95" s="21" t="s">
        <v>57</v>
      </c>
      <c r="C95" s="21" t="s">
        <v>195</v>
      </c>
      <c r="D95" s="22" t="s">
        <v>58</v>
      </c>
      <c r="E95" s="17"/>
      <c r="F95" s="17"/>
      <c r="G95" s="17"/>
      <c r="H95" s="22" t="s">
        <v>59</v>
      </c>
      <c r="I95" s="17"/>
      <c r="J95" s="17"/>
      <c r="K95" s="17"/>
      <c r="L95" s="18"/>
      <c r="M95" s="19" t="s">
        <v>49</v>
      </c>
      <c r="N95" s="19" t="s">
        <v>60</v>
      </c>
    </row>
    <row r="96" customFormat="false" ht="30" hidden="false" customHeight="true" outlineLevel="0" collapsed="false">
      <c r="A96" s="15" t="n">
        <v>46454</v>
      </c>
      <c r="B96" s="16" t="s">
        <v>41</v>
      </c>
      <c r="C96" s="16" t="s">
        <v>204</v>
      </c>
      <c r="D96" s="6" t="s">
        <v>205</v>
      </c>
      <c r="E96" s="17"/>
      <c r="F96" s="17"/>
      <c r="G96" s="17"/>
      <c r="H96" s="6" t="s">
        <v>206</v>
      </c>
      <c r="I96" s="17"/>
      <c r="J96" s="17"/>
      <c r="K96" s="17"/>
      <c r="L96" s="18"/>
      <c r="M96" s="19" t="s">
        <v>45</v>
      </c>
      <c r="N96" s="19" t="s">
        <v>45</v>
      </c>
    </row>
    <row r="97" customFormat="false" ht="30" hidden="false" customHeight="true" outlineLevel="0" collapsed="false">
      <c r="A97" s="15" t="n">
        <v>46456</v>
      </c>
      <c r="B97" s="16" t="s">
        <v>46</v>
      </c>
      <c r="C97" s="16" t="s">
        <v>204</v>
      </c>
      <c r="D97" s="6" t="s">
        <v>58</v>
      </c>
      <c r="E97" s="17"/>
      <c r="F97" s="17"/>
      <c r="G97" s="17"/>
      <c r="H97" s="6" t="s">
        <v>207</v>
      </c>
      <c r="I97" s="17"/>
      <c r="J97" s="17"/>
      <c r="K97" s="17"/>
      <c r="L97" s="18"/>
      <c r="M97" s="19" t="s">
        <v>49</v>
      </c>
      <c r="N97" s="19" t="s">
        <v>50</v>
      </c>
    </row>
    <row r="98" customFormat="false" ht="30" hidden="false" customHeight="true" outlineLevel="0" collapsed="false">
      <c r="A98" s="15" t="n">
        <v>46457</v>
      </c>
      <c r="B98" s="16" t="s">
        <v>51</v>
      </c>
      <c r="C98" s="16" t="s">
        <v>204</v>
      </c>
      <c r="D98" s="6" t="s">
        <v>208</v>
      </c>
      <c r="E98" s="17"/>
      <c r="F98" s="17"/>
      <c r="G98" s="17"/>
      <c r="H98" s="6" t="s">
        <v>58</v>
      </c>
      <c r="I98" s="17"/>
      <c r="J98" s="17"/>
      <c r="K98" s="17"/>
      <c r="L98" s="18"/>
      <c r="M98" s="19" t="s">
        <v>45</v>
      </c>
      <c r="N98" s="19" t="s">
        <v>49</v>
      </c>
    </row>
    <row r="99" customFormat="false" ht="30" hidden="false" customHeight="true" outlineLevel="0" collapsed="false">
      <c r="A99" s="15" t="n">
        <v>46458</v>
      </c>
      <c r="B99" s="16" t="s">
        <v>54</v>
      </c>
      <c r="C99" s="16" t="s">
        <v>204</v>
      </c>
      <c r="D99" s="6" t="s">
        <v>209</v>
      </c>
      <c r="E99" s="17"/>
      <c r="F99" s="17"/>
      <c r="G99" s="17"/>
      <c r="H99" s="6" t="s">
        <v>210</v>
      </c>
      <c r="I99" s="17"/>
      <c r="J99" s="17"/>
      <c r="K99" s="17"/>
      <c r="L99" s="18"/>
      <c r="M99" s="19" t="s">
        <v>45</v>
      </c>
      <c r="N99" s="19" t="s">
        <v>50</v>
      </c>
    </row>
    <row r="100" customFormat="false" ht="30" hidden="false" customHeight="true" outlineLevel="0" collapsed="false">
      <c r="A100" s="15" t="n">
        <v>46460</v>
      </c>
      <c r="B100" s="16" t="s">
        <v>57</v>
      </c>
      <c r="C100" s="16" t="s">
        <v>204</v>
      </c>
      <c r="D100" s="6" t="s">
        <v>58</v>
      </c>
      <c r="E100" s="17"/>
      <c r="F100" s="17"/>
      <c r="G100" s="17"/>
      <c r="H100" s="6" t="s">
        <v>59</v>
      </c>
      <c r="I100" s="17"/>
      <c r="J100" s="17"/>
      <c r="K100" s="17"/>
      <c r="L100" s="18"/>
      <c r="M100" s="19" t="s">
        <v>49</v>
      </c>
      <c r="N100" s="19" t="s">
        <v>60</v>
      </c>
    </row>
    <row r="101" customFormat="false" ht="30" hidden="false" customHeight="true" outlineLevel="0" collapsed="false">
      <c r="A101" s="20" t="n">
        <v>46461</v>
      </c>
      <c r="B101" s="21" t="s">
        <v>41</v>
      </c>
      <c r="C101" s="21" t="s">
        <v>211</v>
      </c>
      <c r="D101" s="22" t="s">
        <v>212</v>
      </c>
      <c r="E101" s="17"/>
      <c r="F101" s="17"/>
      <c r="G101" s="17"/>
      <c r="H101" s="22" t="s">
        <v>213</v>
      </c>
      <c r="I101" s="17"/>
      <c r="J101" s="17"/>
      <c r="K101" s="17"/>
      <c r="L101" s="18"/>
      <c r="M101" s="19" t="s">
        <v>45</v>
      </c>
      <c r="N101" s="19" t="s">
        <v>45</v>
      </c>
    </row>
    <row r="102" customFormat="false" ht="30" hidden="false" customHeight="true" outlineLevel="0" collapsed="false">
      <c r="A102" s="20" t="n">
        <v>46463</v>
      </c>
      <c r="B102" s="21" t="s">
        <v>46</v>
      </c>
      <c r="C102" s="21" t="s">
        <v>211</v>
      </c>
      <c r="D102" s="22" t="s">
        <v>214</v>
      </c>
      <c r="E102" s="17"/>
      <c r="F102" s="17"/>
      <c r="G102" s="17"/>
      <c r="H102" s="22" t="s">
        <v>215</v>
      </c>
      <c r="I102" s="17"/>
      <c r="J102" s="17"/>
      <c r="K102" s="17"/>
      <c r="L102" s="18"/>
      <c r="M102" s="19" t="s">
        <v>49</v>
      </c>
      <c r="N102" s="19" t="s">
        <v>50</v>
      </c>
    </row>
    <row r="103" customFormat="false" ht="30" hidden="false" customHeight="true" outlineLevel="0" collapsed="false">
      <c r="A103" s="20" t="n">
        <v>46464</v>
      </c>
      <c r="B103" s="21" t="s">
        <v>51</v>
      </c>
      <c r="C103" s="21" t="s">
        <v>211</v>
      </c>
      <c r="D103" s="22" t="s">
        <v>216</v>
      </c>
      <c r="E103" s="17"/>
      <c r="F103" s="17"/>
      <c r="G103" s="17"/>
      <c r="H103" s="22" t="s">
        <v>214</v>
      </c>
      <c r="I103" s="17"/>
      <c r="J103" s="17"/>
      <c r="K103" s="17"/>
      <c r="L103" s="18"/>
      <c r="M103" s="19" t="s">
        <v>45</v>
      </c>
      <c r="N103" s="19" t="s">
        <v>49</v>
      </c>
    </row>
    <row r="104" customFormat="false" ht="30" hidden="false" customHeight="true" outlineLevel="0" collapsed="false">
      <c r="A104" s="20" t="n">
        <v>46465</v>
      </c>
      <c r="B104" s="21" t="s">
        <v>54</v>
      </c>
      <c r="C104" s="21" t="s">
        <v>211</v>
      </c>
      <c r="D104" s="22" t="s">
        <v>217</v>
      </c>
      <c r="E104" s="17"/>
      <c r="F104" s="17"/>
      <c r="G104" s="17"/>
      <c r="H104" s="22" t="s">
        <v>215</v>
      </c>
      <c r="I104" s="17"/>
      <c r="J104" s="17"/>
      <c r="K104" s="17"/>
      <c r="L104" s="18"/>
      <c r="M104" s="19" t="s">
        <v>45</v>
      </c>
      <c r="N104" s="19" t="s">
        <v>50</v>
      </c>
    </row>
    <row r="105" customFormat="false" ht="30" hidden="false" customHeight="true" outlineLevel="0" collapsed="false">
      <c r="A105" s="20" t="n">
        <v>46467</v>
      </c>
      <c r="B105" s="21" t="s">
        <v>57</v>
      </c>
      <c r="C105" s="21" t="s">
        <v>211</v>
      </c>
      <c r="D105" s="22" t="s">
        <v>58</v>
      </c>
      <c r="E105" s="17"/>
      <c r="F105" s="17"/>
      <c r="G105" s="17"/>
      <c r="H105" s="22" t="s">
        <v>59</v>
      </c>
      <c r="I105" s="17"/>
      <c r="J105" s="17"/>
      <c r="K105" s="17"/>
      <c r="L105" s="18"/>
      <c r="M105" s="19" t="s">
        <v>49</v>
      </c>
      <c r="N105" s="19" t="s">
        <v>60</v>
      </c>
    </row>
    <row r="106" customFormat="false" ht="30" hidden="false" customHeight="true" outlineLevel="0" collapsed="false">
      <c r="A106" s="15" t="n">
        <v>46468</v>
      </c>
      <c r="B106" s="16" t="s">
        <v>41</v>
      </c>
      <c r="C106" s="16" t="s">
        <v>218</v>
      </c>
      <c r="D106" s="6" t="s">
        <v>219</v>
      </c>
      <c r="E106" s="17"/>
      <c r="F106" s="17"/>
      <c r="G106" s="17"/>
      <c r="H106" s="6" t="s">
        <v>219</v>
      </c>
      <c r="I106" s="17"/>
      <c r="J106" s="17"/>
      <c r="K106" s="17"/>
      <c r="L106" s="18"/>
      <c r="M106" s="19" t="s">
        <v>45</v>
      </c>
      <c r="N106" s="19" t="s">
        <v>45</v>
      </c>
    </row>
    <row r="107" customFormat="false" ht="30" hidden="false" customHeight="true" outlineLevel="0" collapsed="false">
      <c r="A107" s="15" t="n">
        <v>46470</v>
      </c>
      <c r="B107" s="16" t="s">
        <v>46</v>
      </c>
      <c r="C107" s="16" t="s">
        <v>218</v>
      </c>
      <c r="D107" s="6" t="s">
        <v>220</v>
      </c>
      <c r="E107" s="17"/>
      <c r="F107" s="17"/>
      <c r="G107" s="17"/>
      <c r="H107" s="6" t="s">
        <v>221</v>
      </c>
      <c r="I107" s="17"/>
      <c r="J107" s="17"/>
      <c r="K107" s="17"/>
      <c r="L107" s="18"/>
      <c r="M107" s="19" t="s">
        <v>49</v>
      </c>
      <c r="N107" s="19" t="s">
        <v>50</v>
      </c>
    </row>
    <row r="108" customFormat="false" ht="30" hidden="false" customHeight="true" outlineLevel="0" collapsed="false">
      <c r="A108" s="15" t="n">
        <v>46471</v>
      </c>
      <c r="B108" s="16" t="s">
        <v>51</v>
      </c>
      <c r="C108" s="16" t="s">
        <v>218</v>
      </c>
      <c r="D108" s="6" t="s">
        <v>222</v>
      </c>
      <c r="E108" s="17"/>
      <c r="F108" s="17"/>
      <c r="G108" s="17"/>
      <c r="H108" s="6" t="s">
        <v>220</v>
      </c>
      <c r="I108" s="17"/>
      <c r="J108" s="17"/>
      <c r="K108" s="17"/>
      <c r="L108" s="18"/>
      <c r="M108" s="19" t="s">
        <v>45</v>
      </c>
      <c r="N108" s="19" t="s">
        <v>49</v>
      </c>
    </row>
    <row r="109" customFormat="false" ht="30" hidden="false" customHeight="true" outlineLevel="0" collapsed="false">
      <c r="A109" s="15" t="n">
        <v>46472</v>
      </c>
      <c r="B109" s="16" t="s">
        <v>54</v>
      </c>
      <c r="C109" s="16" t="s">
        <v>218</v>
      </c>
      <c r="D109" s="6" t="s">
        <v>219</v>
      </c>
      <c r="E109" s="17"/>
      <c r="F109" s="17"/>
      <c r="G109" s="17"/>
      <c r="H109" s="6" t="s">
        <v>221</v>
      </c>
      <c r="I109" s="17"/>
      <c r="J109" s="17"/>
      <c r="K109" s="17"/>
      <c r="L109" s="18"/>
      <c r="M109" s="19" t="s">
        <v>45</v>
      </c>
      <c r="N109" s="19" t="s">
        <v>50</v>
      </c>
    </row>
    <row r="110" customFormat="false" ht="30" hidden="false" customHeight="true" outlineLevel="0" collapsed="false">
      <c r="A110" s="15" t="n">
        <v>46474</v>
      </c>
      <c r="B110" s="16" t="s">
        <v>57</v>
      </c>
      <c r="C110" s="16" t="s">
        <v>218</v>
      </c>
      <c r="D110" s="6" t="s">
        <v>223</v>
      </c>
      <c r="E110" s="17"/>
      <c r="F110" s="17"/>
      <c r="G110" s="17"/>
      <c r="H110" s="6" t="s">
        <v>224</v>
      </c>
      <c r="I110" s="17"/>
      <c r="J110" s="17"/>
      <c r="K110" s="17"/>
      <c r="L110" s="18"/>
      <c r="M110" s="19" t="s">
        <v>166</v>
      </c>
      <c r="N110" s="19" t="s">
        <v>166</v>
      </c>
    </row>
    <row r="111" customFormat="false" ht="30" hidden="false" customHeight="true" outlineLevel="0" collapsed="false">
      <c r="A111" s="20" t="n">
        <v>46475</v>
      </c>
      <c r="B111" s="21" t="s">
        <v>41</v>
      </c>
      <c r="C111" s="21" t="s">
        <v>225</v>
      </c>
      <c r="D111" s="22" t="s">
        <v>226</v>
      </c>
      <c r="E111" s="17"/>
      <c r="F111" s="17"/>
      <c r="G111" s="17"/>
      <c r="H111" s="22" t="s">
        <v>227</v>
      </c>
      <c r="I111" s="17"/>
      <c r="J111" s="17"/>
      <c r="K111" s="17"/>
      <c r="L111" s="18"/>
      <c r="M111" s="19" t="s">
        <v>60</v>
      </c>
      <c r="N111" s="19" t="s">
        <v>45</v>
      </c>
    </row>
    <row r="112" customFormat="false" ht="30" hidden="false" customHeight="true" outlineLevel="0" collapsed="false">
      <c r="A112" s="20" t="n">
        <v>46477</v>
      </c>
      <c r="B112" s="21" t="s">
        <v>46</v>
      </c>
      <c r="C112" s="21" t="s">
        <v>225</v>
      </c>
      <c r="D112" s="22" t="s">
        <v>228</v>
      </c>
      <c r="E112" s="17"/>
      <c r="F112" s="17"/>
      <c r="G112" s="17"/>
      <c r="H112" s="22" t="s">
        <v>229</v>
      </c>
      <c r="I112" s="17"/>
      <c r="J112" s="17"/>
      <c r="K112" s="17"/>
      <c r="L112" s="18"/>
      <c r="M112" s="19" t="s">
        <v>49</v>
      </c>
      <c r="N112" s="19" t="s">
        <v>50</v>
      </c>
    </row>
    <row r="113" customFormat="false" ht="30" hidden="false" customHeight="true" outlineLevel="0" collapsed="false">
      <c r="A113" s="20" t="n">
        <v>46478</v>
      </c>
      <c r="B113" s="21" t="s">
        <v>51</v>
      </c>
      <c r="C113" s="21" t="s">
        <v>225</v>
      </c>
      <c r="D113" s="22" t="s">
        <v>222</v>
      </c>
      <c r="E113" s="17"/>
      <c r="F113" s="17"/>
      <c r="G113" s="17"/>
      <c r="H113" s="22" t="s">
        <v>228</v>
      </c>
      <c r="I113" s="17"/>
      <c r="J113" s="17"/>
      <c r="K113" s="17"/>
      <c r="L113" s="18"/>
      <c r="M113" s="19" t="s">
        <v>45</v>
      </c>
      <c r="N113" s="19" t="s">
        <v>49</v>
      </c>
    </row>
    <row r="114" customFormat="false" ht="30" hidden="false" customHeight="true" outlineLevel="0" collapsed="false">
      <c r="A114" s="20" t="n">
        <v>46479</v>
      </c>
      <c r="B114" s="21" t="s">
        <v>54</v>
      </c>
      <c r="C114" s="21" t="s">
        <v>225</v>
      </c>
      <c r="D114" s="22" t="s">
        <v>227</v>
      </c>
      <c r="E114" s="17"/>
      <c r="F114" s="17"/>
      <c r="G114" s="17"/>
      <c r="H114" s="22" t="s">
        <v>229</v>
      </c>
      <c r="I114" s="17"/>
      <c r="J114" s="17"/>
      <c r="K114" s="17"/>
      <c r="L114" s="18"/>
      <c r="M114" s="19" t="s">
        <v>45</v>
      </c>
      <c r="N114" s="19" t="s">
        <v>50</v>
      </c>
    </row>
    <row r="115" customFormat="false" ht="30" hidden="false" customHeight="true" outlineLevel="0" collapsed="false">
      <c r="A115" s="20" t="n">
        <v>46481</v>
      </c>
      <c r="B115" s="21" t="s">
        <v>57</v>
      </c>
      <c r="C115" s="21" t="s">
        <v>225</v>
      </c>
      <c r="D115" s="22" t="s">
        <v>58</v>
      </c>
      <c r="E115" s="17"/>
      <c r="F115" s="17"/>
      <c r="G115" s="17"/>
      <c r="H115" s="22" t="s">
        <v>59</v>
      </c>
      <c r="I115" s="17"/>
      <c r="J115" s="17"/>
      <c r="K115" s="17"/>
      <c r="L115" s="18"/>
      <c r="M115" s="19" t="s">
        <v>49</v>
      </c>
      <c r="N115" s="19" t="s">
        <v>60</v>
      </c>
    </row>
    <row r="116" customFormat="false" ht="30" hidden="false" customHeight="true" outlineLevel="0" collapsed="false">
      <c r="A116" s="15" t="n">
        <v>46482</v>
      </c>
      <c r="B116" s="16" t="s">
        <v>41</v>
      </c>
      <c r="C116" s="16" t="s">
        <v>230</v>
      </c>
      <c r="D116" s="6" t="s">
        <v>231</v>
      </c>
      <c r="E116" s="17"/>
      <c r="F116" s="17"/>
      <c r="G116" s="17"/>
      <c r="H116" s="6" t="s">
        <v>231</v>
      </c>
      <c r="I116" s="17"/>
      <c r="J116" s="17"/>
      <c r="K116" s="17"/>
      <c r="L116" s="18"/>
      <c r="M116" s="19" t="s">
        <v>45</v>
      </c>
      <c r="N116" s="19" t="s">
        <v>45</v>
      </c>
    </row>
    <row r="117" customFormat="false" ht="30" hidden="false" customHeight="true" outlineLevel="0" collapsed="false">
      <c r="A117" s="15" t="n">
        <v>46484</v>
      </c>
      <c r="B117" s="16" t="s">
        <v>46</v>
      </c>
      <c r="C117" s="16" t="s">
        <v>230</v>
      </c>
      <c r="D117" s="6" t="s">
        <v>232</v>
      </c>
      <c r="E117" s="17"/>
      <c r="F117" s="17"/>
      <c r="G117" s="17"/>
      <c r="H117" s="6" t="s">
        <v>233</v>
      </c>
      <c r="I117" s="17"/>
      <c r="J117" s="17"/>
      <c r="K117" s="17"/>
      <c r="L117" s="18"/>
      <c r="M117" s="19" t="s">
        <v>49</v>
      </c>
      <c r="N117" s="19" t="s">
        <v>50</v>
      </c>
    </row>
    <row r="118" customFormat="false" ht="30" hidden="false" customHeight="true" outlineLevel="0" collapsed="false">
      <c r="A118" s="15" t="n">
        <v>46485</v>
      </c>
      <c r="B118" s="16" t="s">
        <v>51</v>
      </c>
      <c r="C118" s="16" t="s">
        <v>230</v>
      </c>
      <c r="D118" s="6" t="s">
        <v>222</v>
      </c>
      <c r="E118" s="17"/>
      <c r="F118" s="17"/>
      <c r="G118" s="17"/>
      <c r="H118" s="6" t="s">
        <v>232</v>
      </c>
      <c r="I118" s="17"/>
      <c r="J118" s="17"/>
      <c r="K118" s="17"/>
      <c r="L118" s="18"/>
      <c r="M118" s="19" t="s">
        <v>45</v>
      </c>
      <c r="N118" s="19" t="s">
        <v>49</v>
      </c>
    </row>
    <row r="119" customFormat="false" ht="30" hidden="false" customHeight="true" outlineLevel="0" collapsed="false">
      <c r="A119" s="15" t="n">
        <v>46486</v>
      </c>
      <c r="B119" s="16" t="s">
        <v>54</v>
      </c>
      <c r="C119" s="16" t="s">
        <v>230</v>
      </c>
      <c r="D119" s="6" t="s">
        <v>231</v>
      </c>
      <c r="E119" s="17"/>
      <c r="F119" s="17"/>
      <c r="G119" s="17"/>
      <c r="H119" s="6" t="s">
        <v>233</v>
      </c>
      <c r="I119" s="17"/>
      <c r="J119" s="17"/>
      <c r="K119" s="17"/>
      <c r="L119" s="18"/>
      <c r="M119" s="19" t="s">
        <v>45</v>
      </c>
      <c r="N119" s="19" t="s">
        <v>50</v>
      </c>
    </row>
    <row r="120" customFormat="false" ht="30" hidden="false" customHeight="true" outlineLevel="0" collapsed="false">
      <c r="A120" s="15" t="n">
        <v>46488</v>
      </c>
      <c r="B120" s="16" t="s">
        <v>57</v>
      </c>
      <c r="C120" s="16" t="s">
        <v>230</v>
      </c>
      <c r="D120" s="6" t="s">
        <v>223</v>
      </c>
      <c r="E120" s="17"/>
      <c r="F120" s="17"/>
      <c r="G120" s="17"/>
      <c r="H120" s="6" t="s">
        <v>224</v>
      </c>
      <c r="I120" s="17"/>
      <c r="J120" s="17"/>
      <c r="K120" s="17"/>
      <c r="L120" s="18"/>
      <c r="M120" s="19" t="s">
        <v>166</v>
      </c>
      <c r="N120" s="19" t="s">
        <v>166</v>
      </c>
    </row>
    <row r="121" customFormat="false" ht="30" hidden="false" customHeight="true" outlineLevel="0" collapsed="false">
      <c r="A121" s="20" t="n">
        <v>46489</v>
      </c>
      <c r="B121" s="21" t="s">
        <v>41</v>
      </c>
      <c r="C121" s="21" t="s">
        <v>234</v>
      </c>
      <c r="D121" s="22" t="s">
        <v>226</v>
      </c>
      <c r="E121" s="17"/>
      <c r="F121" s="17"/>
      <c r="G121" s="17"/>
      <c r="H121" s="22" t="s">
        <v>235</v>
      </c>
      <c r="I121" s="17"/>
      <c r="J121" s="17"/>
      <c r="K121" s="17"/>
      <c r="L121" s="18"/>
      <c r="M121" s="19" t="s">
        <v>60</v>
      </c>
      <c r="N121" s="19" t="s">
        <v>45</v>
      </c>
    </row>
    <row r="122" customFormat="false" ht="30" hidden="false" customHeight="true" outlineLevel="0" collapsed="false">
      <c r="A122" s="20" t="n">
        <v>46491</v>
      </c>
      <c r="B122" s="21" t="s">
        <v>46</v>
      </c>
      <c r="C122" s="21" t="s">
        <v>234</v>
      </c>
      <c r="D122" s="22" t="s">
        <v>236</v>
      </c>
      <c r="E122" s="17"/>
      <c r="F122" s="17"/>
      <c r="G122" s="17"/>
      <c r="H122" s="22" t="s">
        <v>237</v>
      </c>
      <c r="I122" s="17"/>
      <c r="J122" s="17"/>
      <c r="K122" s="17"/>
      <c r="L122" s="18"/>
      <c r="M122" s="19" t="s">
        <v>49</v>
      </c>
      <c r="N122" s="19" t="s">
        <v>50</v>
      </c>
    </row>
    <row r="123" customFormat="false" ht="30" hidden="false" customHeight="true" outlineLevel="0" collapsed="false">
      <c r="A123" s="20" t="n">
        <v>46492</v>
      </c>
      <c r="B123" s="21" t="s">
        <v>51</v>
      </c>
      <c r="C123" s="21" t="s">
        <v>234</v>
      </c>
      <c r="D123" s="22" t="s">
        <v>222</v>
      </c>
      <c r="E123" s="17"/>
      <c r="F123" s="17"/>
      <c r="G123" s="17"/>
      <c r="H123" s="22" t="s">
        <v>236</v>
      </c>
      <c r="I123" s="17"/>
      <c r="J123" s="17"/>
      <c r="K123" s="17"/>
      <c r="L123" s="18"/>
      <c r="M123" s="19" t="s">
        <v>45</v>
      </c>
      <c r="N123" s="19" t="s">
        <v>49</v>
      </c>
    </row>
    <row r="124" customFormat="false" ht="30" hidden="false" customHeight="true" outlineLevel="0" collapsed="false">
      <c r="A124" s="20" t="n">
        <v>46493</v>
      </c>
      <c r="B124" s="21" t="s">
        <v>54</v>
      </c>
      <c r="C124" s="21" t="s">
        <v>234</v>
      </c>
      <c r="D124" s="22" t="s">
        <v>235</v>
      </c>
      <c r="E124" s="17"/>
      <c r="F124" s="17"/>
      <c r="G124" s="17"/>
      <c r="H124" s="22" t="s">
        <v>237</v>
      </c>
      <c r="I124" s="17"/>
      <c r="J124" s="17"/>
      <c r="K124" s="17"/>
      <c r="L124" s="18"/>
      <c r="M124" s="19" t="s">
        <v>45</v>
      </c>
      <c r="N124" s="19" t="s">
        <v>50</v>
      </c>
    </row>
    <row r="125" customFormat="false" ht="30" hidden="false" customHeight="true" outlineLevel="0" collapsed="false">
      <c r="A125" s="20" t="n">
        <v>46495</v>
      </c>
      <c r="B125" s="21" t="s">
        <v>57</v>
      </c>
      <c r="C125" s="21" t="s">
        <v>234</v>
      </c>
      <c r="D125" s="22" t="s">
        <v>58</v>
      </c>
      <c r="E125" s="17"/>
      <c r="F125" s="17"/>
      <c r="G125" s="17"/>
      <c r="H125" s="22" t="s">
        <v>59</v>
      </c>
      <c r="I125" s="17"/>
      <c r="J125" s="17"/>
      <c r="K125" s="17"/>
      <c r="L125" s="18"/>
      <c r="M125" s="19" t="s">
        <v>49</v>
      </c>
      <c r="N125" s="19" t="s">
        <v>60</v>
      </c>
    </row>
    <row r="126" customFormat="false" ht="30" hidden="false" customHeight="true" outlineLevel="0" collapsed="false">
      <c r="A126" s="15" t="n">
        <v>46496</v>
      </c>
      <c r="B126" s="16" t="s">
        <v>41</v>
      </c>
      <c r="C126" s="16" t="s">
        <v>238</v>
      </c>
      <c r="D126" s="6" t="s">
        <v>239</v>
      </c>
      <c r="E126" s="17"/>
      <c r="F126" s="17"/>
      <c r="G126" s="17"/>
      <c r="H126" s="6" t="s">
        <v>239</v>
      </c>
      <c r="I126" s="17"/>
      <c r="J126" s="17"/>
      <c r="K126" s="17"/>
      <c r="L126" s="18"/>
      <c r="M126" s="19" t="s">
        <v>45</v>
      </c>
      <c r="N126" s="19" t="s">
        <v>45</v>
      </c>
    </row>
    <row r="127" customFormat="false" ht="30" hidden="false" customHeight="true" outlineLevel="0" collapsed="false">
      <c r="A127" s="15" t="n">
        <v>46498</v>
      </c>
      <c r="B127" s="16" t="s">
        <v>46</v>
      </c>
      <c r="C127" s="16" t="s">
        <v>238</v>
      </c>
      <c r="D127" s="6" t="s">
        <v>240</v>
      </c>
      <c r="E127" s="17"/>
      <c r="F127" s="17"/>
      <c r="G127" s="17"/>
      <c r="H127" s="6" t="s">
        <v>241</v>
      </c>
      <c r="I127" s="17"/>
      <c r="J127" s="17"/>
      <c r="K127" s="17"/>
      <c r="L127" s="18"/>
      <c r="M127" s="19" t="s">
        <v>49</v>
      </c>
      <c r="N127" s="19" t="s">
        <v>50</v>
      </c>
    </row>
    <row r="128" customFormat="false" ht="30" hidden="false" customHeight="true" outlineLevel="0" collapsed="false">
      <c r="A128" s="15" t="n">
        <v>46499</v>
      </c>
      <c r="B128" s="16" t="s">
        <v>51</v>
      </c>
      <c r="C128" s="16" t="s">
        <v>238</v>
      </c>
      <c r="D128" s="6" t="s">
        <v>222</v>
      </c>
      <c r="E128" s="17"/>
      <c r="F128" s="17"/>
      <c r="G128" s="17"/>
      <c r="H128" s="6" t="s">
        <v>240</v>
      </c>
      <c r="I128" s="17"/>
      <c r="J128" s="17"/>
      <c r="K128" s="17"/>
      <c r="L128" s="18"/>
      <c r="M128" s="19" t="s">
        <v>45</v>
      </c>
      <c r="N128" s="19" t="s">
        <v>49</v>
      </c>
    </row>
    <row r="129" customFormat="false" ht="30" hidden="false" customHeight="true" outlineLevel="0" collapsed="false">
      <c r="A129" s="15" t="n">
        <v>46500</v>
      </c>
      <c r="B129" s="16" t="s">
        <v>54</v>
      </c>
      <c r="C129" s="16" t="s">
        <v>238</v>
      </c>
      <c r="D129" s="6" t="s">
        <v>239</v>
      </c>
      <c r="E129" s="17"/>
      <c r="F129" s="17"/>
      <c r="G129" s="17"/>
      <c r="H129" s="6" t="s">
        <v>241</v>
      </c>
      <c r="I129" s="17"/>
      <c r="J129" s="17"/>
      <c r="K129" s="17"/>
      <c r="L129" s="18"/>
      <c r="M129" s="19" t="s">
        <v>45</v>
      </c>
      <c r="N129" s="19" t="s">
        <v>50</v>
      </c>
    </row>
    <row r="130" customFormat="false" ht="30" hidden="false" customHeight="true" outlineLevel="0" collapsed="false">
      <c r="A130" s="15" t="n">
        <v>46502</v>
      </c>
      <c r="B130" s="16" t="s">
        <v>57</v>
      </c>
      <c r="C130" s="16" t="s">
        <v>238</v>
      </c>
      <c r="D130" s="6" t="s">
        <v>223</v>
      </c>
      <c r="E130" s="17"/>
      <c r="F130" s="17"/>
      <c r="G130" s="17"/>
      <c r="H130" s="6" t="s">
        <v>224</v>
      </c>
      <c r="I130" s="17"/>
      <c r="J130" s="17"/>
      <c r="K130" s="17"/>
      <c r="L130" s="18"/>
      <c r="M130" s="19" t="s">
        <v>166</v>
      </c>
      <c r="N130" s="19" t="s">
        <v>166</v>
      </c>
    </row>
    <row r="131" customFormat="false" ht="30" hidden="false" customHeight="true" outlineLevel="0" collapsed="false">
      <c r="A131" s="20" t="n">
        <v>46503</v>
      </c>
      <c r="B131" s="21" t="s">
        <v>41</v>
      </c>
      <c r="C131" s="21" t="s">
        <v>242</v>
      </c>
      <c r="D131" s="22" t="s">
        <v>243</v>
      </c>
      <c r="E131" s="17"/>
      <c r="F131" s="17"/>
      <c r="G131" s="17"/>
      <c r="H131" s="23" t="s">
        <v>244</v>
      </c>
      <c r="I131" s="17"/>
      <c r="J131" s="17"/>
      <c r="K131" s="17"/>
      <c r="L131" s="18"/>
      <c r="M131" s="19" t="s">
        <v>60</v>
      </c>
      <c r="N131" s="19" t="s">
        <v>118</v>
      </c>
    </row>
    <row r="132" customFormat="false" ht="30" hidden="false" customHeight="true" outlineLevel="0" collapsed="false">
      <c r="A132" s="20" t="n">
        <v>46505</v>
      </c>
      <c r="B132" s="21" t="s">
        <v>46</v>
      </c>
      <c r="C132" s="21" t="s">
        <v>242</v>
      </c>
      <c r="D132" s="22" t="s">
        <v>243</v>
      </c>
      <c r="E132" s="17"/>
      <c r="F132" s="17"/>
      <c r="G132" s="17"/>
      <c r="H132" s="23" t="s">
        <v>244</v>
      </c>
      <c r="I132" s="17"/>
      <c r="J132" s="17"/>
      <c r="K132" s="17"/>
      <c r="L132" s="18"/>
      <c r="M132" s="19" t="s">
        <v>60</v>
      </c>
      <c r="N132" s="19" t="s">
        <v>118</v>
      </c>
    </row>
    <row r="133" customFormat="false" ht="30" hidden="false" customHeight="true" outlineLevel="0" collapsed="false">
      <c r="A133" s="20" t="n">
        <v>46506</v>
      </c>
      <c r="B133" s="21" t="s">
        <v>51</v>
      </c>
      <c r="C133" s="21" t="s">
        <v>242</v>
      </c>
      <c r="D133" s="22" t="s">
        <v>243</v>
      </c>
      <c r="E133" s="17"/>
      <c r="F133" s="17"/>
      <c r="G133" s="17"/>
      <c r="H133" s="23" t="s">
        <v>244</v>
      </c>
      <c r="I133" s="17"/>
      <c r="J133" s="17"/>
      <c r="K133" s="17"/>
      <c r="L133" s="18"/>
      <c r="M133" s="19" t="s">
        <v>60</v>
      </c>
      <c r="N133" s="19" t="s">
        <v>118</v>
      </c>
    </row>
    <row r="134" customFormat="false" ht="30" hidden="false" customHeight="true" outlineLevel="0" collapsed="false">
      <c r="A134" s="20" t="n">
        <v>46507</v>
      </c>
      <c r="B134" s="21" t="s">
        <v>54</v>
      </c>
      <c r="C134" s="21" t="s">
        <v>242</v>
      </c>
      <c r="D134" s="22" t="s">
        <v>243</v>
      </c>
      <c r="E134" s="17"/>
      <c r="F134" s="17"/>
      <c r="G134" s="17"/>
      <c r="H134" s="23" t="s">
        <v>244</v>
      </c>
      <c r="I134" s="17"/>
      <c r="J134" s="17"/>
      <c r="K134" s="17"/>
      <c r="L134" s="18"/>
      <c r="M134" s="19" t="s">
        <v>60</v>
      </c>
      <c r="N134" s="19" t="s">
        <v>118</v>
      </c>
    </row>
    <row r="135" customFormat="false" ht="30" hidden="false" customHeight="true" outlineLevel="0" collapsed="false">
      <c r="A135" s="20" t="n">
        <v>46509</v>
      </c>
      <c r="B135" s="21" t="s">
        <v>57</v>
      </c>
      <c r="C135" s="21" t="s">
        <v>242</v>
      </c>
      <c r="D135" s="22" t="s">
        <v>243</v>
      </c>
      <c r="E135" s="17"/>
      <c r="F135" s="17"/>
      <c r="G135" s="17"/>
      <c r="H135" s="23" t="s">
        <v>244</v>
      </c>
      <c r="I135" s="17"/>
      <c r="J135" s="17"/>
      <c r="K135" s="17"/>
      <c r="L135" s="18"/>
      <c r="M135" s="19" t="s">
        <v>60</v>
      </c>
      <c r="N135" s="19" t="s">
        <v>118</v>
      </c>
    </row>
  </sheetData>
  <conditionalFormatting sqref="A6:D135">
    <cfRule type="expression" priority="2" aboveAverage="0" equalAverage="0" bottom="0" percent="0" rank="0" text="" dxfId="0">
      <formula>$A6=TODAY()</formula>
    </cfRule>
  </conditionalFormatting>
  <conditionalFormatting sqref="H6:H135">
    <cfRule type="expression" priority="3" aboveAverage="0" equalAverage="0" bottom="0" percent="0" rank="0" text="" dxfId="0">
      <formula>$A6=TODAY()</formula>
    </cfRule>
  </conditionalFormatting>
  <conditionalFormatting sqref="E6:E135">
    <cfRule type="cellIs" priority="4" operator="equal" aboveAverage="0" equalAverage="0" bottom="0" percent="0" rank="0" text="" dxfId="1">
      <formula>"✓"</formula>
    </cfRule>
  </conditionalFormatting>
  <conditionalFormatting sqref="I6:I135">
    <cfRule type="cellIs" priority="5" operator="equal" aboveAverage="0" equalAverage="0" bottom="0" percent="0" rank="0" text="" dxfId="1">
      <formula>"✓"</formula>
    </cfRule>
  </conditionalFormatting>
  <dataValidations count="4">
    <dataValidation allowBlank="true" errorStyle="stop" operator="between" showDropDown="false" showErrorMessage="false" showInputMessage="false" sqref="E6:E135 I6:I135" type="list">
      <formula1>"✓"</formula1>
      <formula2>0</formula2>
    </dataValidation>
    <dataValidation allowBlank="true" error="Digite um número inteiro." errorStyle="stop" operator="greaterThanOrEqual" showDropDown="false" showErrorMessage="true" showInputMessage="false" sqref="F6:F135 J6:J135" type="whole">
      <formula1>0</formula1>
      <formula2>0</formula2>
    </dataValidation>
    <dataValidation allowBlank="true" error="Acertos não pode ser maior que o número de questões." errorStyle="stop" operator="between" showDropDown="false" showErrorMessage="true" showInputMessage="false" sqref="G6:G135" type="custom">
      <formula1>G6&lt;=F6</formula1>
      <formula2>0</formula2>
    </dataValidation>
    <dataValidation allowBlank="true" error="Acertos não pode ser maior que o número de questões." errorStyle="stop" operator="between" showDropDown="false" showErrorMessage="true" showInputMessage="false" sqref="K6:K135" type="custom">
      <formula1>K6&lt;=J6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10" min="8" style="0" width="12"/>
    <col collapsed="false" customWidth="true" hidden="false" outlineLevel="0" max="11" min="11" style="0" width="52"/>
  </cols>
  <sheetData>
    <row r="1" customFormat="false" ht="27.75" hidden="false" customHeight="true" outlineLevel="0" collapsed="false">
      <c r="A1" s="1" t="s">
        <v>245</v>
      </c>
    </row>
    <row r="2" customFormat="false" ht="15" hidden="false" customHeight="false" outlineLevel="0" collapsed="false">
      <c r="A2" s="2" t="s">
        <v>246</v>
      </c>
    </row>
    <row r="3" customFormat="false" ht="15" hidden="false" customHeight="true" outlineLevel="0" collapsed="false">
      <c r="A3" s="24" t="s">
        <v>247</v>
      </c>
      <c r="B3" s="24"/>
      <c r="C3" s="24" t="s">
        <v>248</v>
      </c>
      <c r="D3" s="24"/>
      <c r="E3" s="24" t="s">
        <v>249</v>
      </c>
      <c r="F3" s="24"/>
      <c r="G3" s="24" t="s">
        <v>250</v>
      </c>
      <c r="H3" s="24"/>
      <c r="I3" s="24" t="s">
        <v>251</v>
      </c>
      <c r="J3" s="24"/>
    </row>
    <row r="4" customFormat="false" ht="30" hidden="false" customHeight="true" outlineLevel="0" collapsed="false">
      <c r="A4" s="25" t="n">
        <f aca="false">COUNTIF(Diário!$E$6:$E$135,"✓")+COUNTIF(Diário!$I$6:$I$135,"✓")</f>
        <v>0</v>
      </c>
      <c r="B4" s="25"/>
      <c r="C4" s="25" t="n">
        <f aca="false">SUM(Diário!$F$6:$F$135)+SUM(Diário!$J$6:$J$135)</f>
        <v>0</v>
      </c>
      <c r="D4" s="25"/>
      <c r="E4" s="26" t="str">
        <f aca="false">IF((SUM(Diário!$F$6:$F$135)+SUM(Diário!$J$6:$J$135))=0,"–",(SUM(Diário!$G$6:$G$135)+SUM(Diário!$K$6:$K$135))/(SUM(Diário!$F$6:$F$135)+SUM(Diário!$J$6:$J$135)))</f>
        <v>–</v>
      </c>
      <c r="F4" s="26"/>
      <c r="G4" s="26" t="n">
        <f aca="false">COUNTA(Edital!D6:D56)/51</f>
        <v>0</v>
      </c>
      <c r="H4" s="26"/>
      <c r="I4" s="25" t="n">
        <f aca="false">COUNTIF(Edital!I6:I56,"🟡*")+COUNTIF(Erros!H6:H405,"🟡*")</f>
        <v>0</v>
      </c>
      <c r="J4" s="25"/>
    </row>
    <row r="6" customFormat="false" ht="30" hidden="false" customHeight="true" outlineLevel="0" collapsed="false">
      <c r="A6" s="14" t="s">
        <v>32</v>
      </c>
      <c r="B6" s="14" t="s">
        <v>252</v>
      </c>
      <c r="C6" s="14" t="s">
        <v>253</v>
      </c>
      <c r="D6" s="14" t="s">
        <v>247</v>
      </c>
      <c r="E6" s="14" t="s">
        <v>254</v>
      </c>
      <c r="F6" s="14" t="s">
        <v>35</v>
      </c>
      <c r="G6" s="14" t="s">
        <v>255</v>
      </c>
      <c r="H6" s="14" t="s">
        <v>256</v>
      </c>
      <c r="I6" s="14" t="s">
        <v>257</v>
      </c>
      <c r="J6" s="14" t="s">
        <v>258</v>
      </c>
      <c r="K6" s="14" t="s">
        <v>259</v>
      </c>
    </row>
    <row r="7" customFormat="false" ht="15" hidden="false" customHeight="false" outlineLevel="0" collapsed="false">
      <c r="A7" s="16" t="s">
        <v>42</v>
      </c>
      <c r="B7" s="16" t="s">
        <v>260</v>
      </c>
      <c r="C7" s="16" t="n">
        <f aca="false">COUNTIFS(Diário!$C$6:$C$135,"S1",Diário!$M$6:$M$135,"&lt;&gt;Livre")+COUNTIFS(Diário!$C$6:$C$135,"S1",Diário!$N$6:$N$135,"&lt;&gt;Livre")</f>
        <v>10</v>
      </c>
      <c r="D7" s="16" t="n">
        <f aca="false">COUNTIFS(Diário!$C$6:$C$135,"S1",Diário!$E$6:$E$135,"✓")+COUNTIFS(Diário!$C$6:$C$135,"S1",Diário!$I$6:$I$135,"✓")</f>
        <v>0</v>
      </c>
      <c r="E7" s="27" t="str">
        <f aca="false">IF(D7=0,"",D7/C7)</f>
        <v/>
      </c>
      <c r="F7" s="16" t="n">
        <f aca="false">SUMIFS(Diário!$F$6:$F$135,Diário!$C$6:$C$135,"S1")+SUMIFS(Diário!$J$6:$J$135,Diário!$C$6:$C$135,"S1")</f>
        <v>0</v>
      </c>
      <c r="G7" s="16" t="n">
        <v>50</v>
      </c>
      <c r="H7" s="27" t="str">
        <f aca="false">IF((SUMIFS(Diário!$F$6:$F$135,Diário!$C$6:$C$135,"S1",Diário!$M$6:$M$135,"Medicina Legal")+SUMIFS(Diário!$J$6:$J$135,Diário!$C$6:$C$135,"S1",Diário!$N$6:$N$135,"Medicina Legal"))=0,"",(SUMIFS(Diário!$G$6:$G$135,Diário!$C$6:$C$135,"S1",Diário!$M$6:$M$135,"Medicina Legal")+SUMIFS(Diário!$K$6:$K$135,Diário!$C$6:$C$135,"S1",Diário!$N$6:$N$135,"Medicina Legal"))/(SUMIFS(Diário!$F$6:$F$135,Diário!$C$6:$C$135,"S1",Diário!$M$6:$M$135,"Medicina Legal")+SUMIFS(Diário!$J$6:$J$135,Diário!$C$6:$C$135,"S1",Diário!$N$6:$N$135,"Medicina Legal")))</f>
        <v/>
      </c>
      <c r="I7" s="27" t="str">
        <f aca="false">IF((SUMIFS(Diário!$F$6:$F$135,Diário!$C$6:$C$135,"S1",Diário!$M$6:$M$135,"Português")+SUMIFS(Diário!$J$6:$J$135,Diário!$C$6:$C$135,"S1",Diário!$N$6:$N$135,"Português"))=0,"",(SUMIFS(Diário!$G$6:$G$135,Diário!$C$6:$C$135,"S1",Diário!$M$6:$M$135,"Português")+SUMIFS(Diário!$K$6:$K$135,Diário!$C$6:$C$135,"S1",Diário!$N$6:$N$135,"Português"))/(SUMIFS(Diário!$F$6:$F$135,Diário!$C$6:$C$135,"S1",Diário!$M$6:$M$135,"Português")+SUMIFS(Diário!$J$6:$J$135,Diário!$C$6:$C$135,"S1",Diário!$N$6:$N$135,"Português")))</f>
        <v/>
      </c>
      <c r="J7" s="27" t="str">
        <f aca="false">IF((SUMIFS(Diário!$F$6:$F$135,Diário!$C$6:$C$135,"S1",Diário!$M$6:$M$135,"Direito")+SUMIFS(Diário!$J$6:$J$135,Diário!$C$6:$C$135,"S1",Diário!$N$6:$N$135,"Direito"))=0,"",(SUMIFS(Diário!$G$6:$G$135,Diário!$C$6:$C$135,"S1",Diário!$M$6:$M$135,"Direito")+SUMIFS(Diário!$K$6:$K$135,Diário!$C$6:$C$135,"S1",Diário!$N$6:$N$135,"Direito"))/(SUMIFS(Diário!$F$6:$F$135,Diário!$C$6:$C$135,"S1",Diário!$M$6:$M$135,"Direito")+SUMIFS(Diário!$J$6:$J$135,Diário!$C$6:$C$135,"S1",Diário!$N$6:$N$135,"Direito")))</f>
        <v/>
      </c>
      <c r="K7" s="6" t="str">
        <f aca="true">IF(D7=0,IF(TODAY()&gt;DATE(2026,11,8),"🔴 Semana sem registro",""),IF(E7&lt;0.5,"🔴 Fale com a mentora",IF(IF(E7&lt;0.8,"fez poucos blocos; ","")&amp;IF(AND(ISNUMBER(H7),H7&lt;0.6),"reforçar Medicina Legal; ","")&amp;IF(AND(ISNUMBER(I7),I7&lt;0.6),"reforçar Português; ","")&amp;IF(AND(ISNUMBER(J7),J7&lt;0.6),"reforçar Direito; ","")="","🟢 No ritmo","🟡 Atenção: "&amp;IF(E7&lt;0.8,"fez poucos blocos; ","")&amp;IF(AND(ISNUMBER(H7),H7&lt;0.6),"reforçar Medicina Legal; ","")&amp;IF(AND(ISNUMBER(I7),I7&lt;0.6),"reforçar Português; ","")&amp;IF(AND(ISNUMBER(J7),J7&lt;0.6),"reforçar Direito; ",""))))</f>
        <v/>
      </c>
    </row>
    <row r="8" customFormat="false" ht="15" hidden="false" customHeight="false" outlineLevel="0" collapsed="false">
      <c r="A8" s="16" t="s">
        <v>61</v>
      </c>
      <c r="B8" s="16" t="s">
        <v>261</v>
      </c>
      <c r="C8" s="16" t="n">
        <f aca="false">COUNTIFS(Diário!$C$6:$C$135,"S2",Diário!$M$6:$M$135,"&lt;&gt;Livre")+COUNTIFS(Diário!$C$6:$C$135,"S2",Diário!$N$6:$N$135,"&lt;&gt;Livre")</f>
        <v>10</v>
      </c>
      <c r="D8" s="16" t="n">
        <f aca="false">COUNTIFS(Diário!$C$6:$C$135,"S2",Diário!$E$6:$E$135,"✓")+COUNTIFS(Diário!$C$6:$C$135,"S2",Diário!$I$6:$I$135,"✓")</f>
        <v>0</v>
      </c>
      <c r="E8" s="27" t="str">
        <f aca="false">IF(D8=0,"",D8/C8)</f>
        <v/>
      </c>
      <c r="F8" s="16" t="n">
        <f aca="false">SUMIFS(Diário!$F$6:$F$135,Diário!$C$6:$C$135,"S2")+SUMIFS(Diário!$J$6:$J$135,Diário!$C$6:$C$135,"S2")</f>
        <v>0</v>
      </c>
      <c r="G8" s="16" t="n">
        <v>50</v>
      </c>
      <c r="H8" s="27" t="str">
        <f aca="false">IF((SUMIFS(Diário!$F$6:$F$135,Diário!$C$6:$C$135,"S2",Diário!$M$6:$M$135,"Medicina Legal")+SUMIFS(Diário!$J$6:$J$135,Diário!$C$6:$C$135,"S2",Diário!$N$6:$N$135,"Medicina Legal"))=0,"",(SUMIFS(Diário!$G$6:$G$135,Diário!$C$6:$C$135,"S2",Diário!$M$6:$M$135,"Medicina Legal")+SUMIFS(Diário!$K$6:$K$135,Diário!$C$6:$C$135,"S2",Diário!$N$6:$N$135,"Medicina Legal"))/(SUMIFS(Diário!$F$6:$F$135,Diário!$C$6:$C$135,"S2",Diário!$M$6:$M$135,"Medicina Legal")+SUMIFS(Diário!$J$6:$J$135,Diário!$C$6:$C$135,"S2",Diário!$N$6:$N$135,"Medicina Legal")))</f>
        <v/>
      </c>
      <c r="I8" s="27" t="str">
        <f aca="false">IF((SUMIFS(Diário!$F$6:$F$135,Diário!$C$6:$C$135,"S2",Diário!$M$6:$M$135,"Português")+SUMIFS(Diário!$J$6:$J$135,Diário!$C$6:$C$135,"S2",Diário!$N$6:$N$135,"Português"))=0,"",(SUMIFS(Diário!$G$6:$G$135,Diário!$C$6:$C$135,"S2",Diário!$M$6:$M$135,"Português")+SUMIFS(Diário!$K$6:$K$135,Diário!$C$6:$C$135,"S2",Diário!$N$6:$N$135,"Português"))/(SUMIFS(Diário!$F$6:$F$135,Diário!$C$6:$C$135,"S2",Diário!$M$6:$M$135,"Português")+SUMIFS(Diário!$J$6:$J$135,Diário!$C$6:$C$135,"S2",Diário!$N$6:$N$135,"Português")))</f>
        <v/>
      </c>
      <c r="J8" s="27" t="str">
        <f aca="false">IF((SUMIFS(Diário!$F$6:$F$135,Diário!$C$6:$C$135,"S2",Diário!$M$6:$M$135,"Direito")+SUMIFS(Diário!$J$6:$J$135,Diário!$C$6:$C$135,"S2",Diário!$N$6:$N$135,"Direito"))=0,"",(SUMIFS(Diário!$G$6:$G$135,Diário!$C$6:$C$135,"S2",Diário!$M$6:$M$135,"Direito")+SUMIFS(Diário!$K$6:$K$135,Diário!$C$6:$C$135,"S2",Diário!$N$6:$N$135,"Direito"))/(SUMIFS(Diário!$F$6:$F$135,Diário!$C$6:$C$135,"S2",Diário!$M$6:$M$135,"Direito")+SUMIFS(Diário!$J$6:$J$135,Diário!$C$6:$C$135,"S2",Diário!$N$6:$N$135,"Direito")))</f>
        <v/>
      </c>
      <c r="K8" s="6" t="str">
        <f aca="true">IF(D8=0,IF(TODAY()&gt;DATE(2026,11,15),"🔴 Semana sem registro",""),IF(E8&lt;0.5,"🔴 Fale com a mentora",IF(IF(E8&lt;0.8,"fez poucos blocos; ","")&amp;IF(AND(ISNUMBER(H8),H8&lt;0.6),"reforçar Medicina Legal; ","")&amp;IF(AND(ISNUMBER(I8),I8&lt;0.6),"reforçar Português; ","")&amp;IF(AND(ISNUMBER(J8),J8&lt;0.6),"reforçar Direito; ","")="","🟢 No ritmo","🟡 Atenção: "&amp;IF(E8&lt;0.8,"fez poucos blocos; ","")&amp;IF(AND(ISNUMBER(H8),H8&lt;0.6),"reforçar Medicina Legal; ","")&amp;IF(AND(ISNUMBER(I8),I8&lt;0.6),"reforçar Português; ","")&amp;IF(AND(ISNUMBER(J8),J8&lt;0.6),"reforçar Direito; ",""))))</f>
        <v/>
      </c>
    </row>
    <row r="9" customFormat="false" ht="15" hidden="false" customHeight="false" outlineLevel="0" collapsed="false">
      <c r="A9" s="16" t="s">
        <v>70</v>
      </c>
      <c r="B9" s="16" t="s">
        <v>262</v>
      </c>
      <c r="C9" s="16" t="n">
        <f aca="false">COUNTIFS(Diário!$C$6:$C$135,"S3",Diário!$M$6:$M$135,"&lt;&gt;Livre")+COUNTIFS(Diário!$C$6:$C$135,"S3",Diário!$N$6:$N$135,"&lt;&gt;Livre")</f>
        <v>10</v>
      </c>
      <c r="D9" s="16" t="n">
        <f aca="false">COUNTIFS(Diário!$C$6:$C$135,"S3",Diário!$E$6:$E$135,"✓")+COUNTIFS(Diário!$C$6:$C$135,"S3",Diário!$I$6:$I$135,"✓")</f>
        <v>0</v>
      </c>
      <c r="E9" s="27" t="str">
        <f aca="false">IF(D9=0,"",D9/C9)</f>
        <v/>
      </c>
      <c r="F9" s="16" t="n">
        <f aca="false">SUMIFS(Diário!$F$6:$F$135,Diário!$C$6:$C$135,"S3")+SUMIFS(Diário!$J$6:$J$135,Diário!$C$6:$C$135,"S3")</f>
        <v>0</v>
      </c>
      <c r="G9" s="16" t="n">
        <v>50</v>
      </c>
      <c r="H9" s="27" t="str">
        <f aca="false">IF((SUMIFS(Diário!$F$6:$F$135,Diário!$C$6:$C$135,"S3",Diário!$M$6:$M$135,"Medicina Legal")+SUMIFS(Diário!$J$6:$J$135,Diário!$C$6:$C$135,"S3",Diário!$N$6:$N$135,"Medicina Legal"))=0,"",(SUMIFS(Diário!$G$6:$G$135,Diário!$C$6:$C$135,"S3",Diário!$M$6:$M$135,"Medicina Legal")+SUMIFS(Diário!$K$6:$K$135,Diário!$C$6:$C$135,"S3",Diário!$N$6:$N$135,"Medicina Legal"))/(SUMIFS(Diário!$F$6:$F$135,Diário!$C$6:$C$135,"S3",Diário!$M$6:$M$135,"Medicina Legal")+SUMIFS(Diário!$J$6:$J$135,Diário!$C$6:$C$135,"S3",Diário!$N$6:$N$135,"Medicina Legal")))</f>
        <v/>
      </c>
      <c r="I9" s="27" t="str">
        <f aca="false">IF((SUMIFS(Diário!$F$6:$F$135,Diário!$C$6:$C$135,"S3",Diário!$M$6:$M$135,"Português")+SUMIFS(Diário!$J$6:$J$135,Diário!$C$6:$C$135,"S3",Diário!$N$6:$N$135,"Português"))=0,"",(SUMIFS(Diário!$G$6:$G$135,Diário!$C$6:$C$135,"S3",Diário!$M$6:$M$135,"Português")+SUMIFS(Diário!$K$6:$K$135,Diário!$C$6:$C$135,"S3",Diário!$N$6:$N$135,"Português"))/(SUMIFS(Diário!$F$6:$F$135,Diário!$C$6:$C$135,"S3",Diário!$M$6:$M$135,"Português")+SUMIFS(Diário!$J$6:$J$135,Diário!$C$6:$C$135,"S3",Diário!$N$6:$N$135,"Português")))</f>
        <v/>
      </c>
      <c r="J9" s="27" t="str">
        <f aca="false">IF((SUMIFS(Diário!$F$6:$F$135,Diário!$C$6:$C$135,"S3",Diário!$M$6:$M$135,"Direito")+SUMIFS(Diário!$J$6:$J$135,Diário!$C$6:$C$135,"S3",Diário!$N$6:$N$135,"Direito"))=0,"",(SUMIFS(Diário!$G$6:$G$135,Diário!$C$6:$C$135,"S3",Diário!$M$6:$M$135,"Direito")+SUMIFS(Diário!$K$6:$K$135,Diário!$C$6:$C$135,"S3",Diário!$N$6:$N$135,"Direito"))/(SUMIFS(Diário!$F$6:$F$135,Diário!$C$6:$C$135,"S3",Diário!$M$6:$M$135,"Direito")+SUMIFS(Diário!$J$6:$J$135,Diário!$C$6:$C$135,"S3",Diário!$N$6:$N$135,"Direito")))</f>
        <v/>
      </c>
      <c r="K9" s="6" t="str">
        <f aca="true">IF(D9=0,IF(TODAY()&gt;DATE(2026,11,22),"🔴 Semana sem registro",""),IF(E9&lt;0.5,"🔴 Fale com a mentora",IF(IF(E9&lt;0.8,"fez poucos blocos; ","")&amp;IF(AND(ISNUMBER(H9),H9&lt;0.6),"reforçar Medicina Legal; ","")&amp;IF(AND(ISNUMBER(I9),I9&lt;0.6),"reforçar Português; ","")&amp;IF(AND(ISNUMBER(J9),J9&lt;0.6),"reforçar Direito; ","")="","🟢 No ritmo","🟡 Atenção: "&amp;IF(E9&lt;0.8,"fez poucos blocos; ","")&amp;IF(AND(ISNUMBER(H9),H9&lt;0.6),"reforçar Medicina Legal; ","")&amp;IF(AND(ISNUMBER(I9),I9&lt;0.6),"reforçar Português; ","")&amp;IF(AND(ISNUMBER(J9),J9&lt;0.6),"reforçar Direito; ",""))))</f>
        <v/>
      </c>
    </row>
    <row r="10" customFormat="false" ht="15" hidden="false" customHeight="false" outlineLevel="0" collapsed="false">
      <c r="A10" s="16" t="s">
        <v>79</v>
      </c>
      <c r="B10" s="16" t="s">
        <v>263</v>
      </c>
      <c r="C10" s="16" t="n">
        <f aca="false">COUNTIFS(Diário!$C$6:$C$135,"S4",Diário!$M$6:$M$135,"&lt;&gt;Livre")+COUNTIFS(Diário!$C$6:$C$135,"S4",Diário!$N$6:$N$135,"&lt;&gt;Livre")</f>
        <v>10</v>
      </c>
      <c r="D10" s="16" t="n">
        <f aca="false">COUNTIFS(Diário!$C$6:$C$135,"S4",Diário!$E$6:$E$135,"✓")+COUNTIFS(Diário!$C$6:$C$135,"S4",Diário!$I$6:$I$135,"✓")</f>
        <v>0</v>
      </c>
      <c r="E10" s="27" t="str">
        <f aca="false">IF(D10=0,"",D10/C10)</f>
        <v/>
      </c>
      <c r="F10" s="16" t="n">
        <f aca="false">SUMIFS(Diário!$F$6:$F$135,Diário!$C$6:$C$135,"S4")+SUMIFS(Diário!$J$6:$J$135,Diário!$C$6:$C$135,"S4")</f>
        <v>0</v>
      </c>
      <c r="G10" s="16" t="n">
        <v>50</v>
      </c>
      <c r="H10" s="27" t="str">
        <f aca="false">IF((SUMIFS(Diário!$F$6:$F$135,Diário!$C$6:$C$135,"S4",Diário!$M$6:$M$135,"Medicina Legal")+SUMIFS(Diário!$J$6:$J$135,Diário!$C$6:$C$135,"S4",Diário!$N$6:$N$135,"Medicina Legal"))=0,"",(SUMIFS(Diário!$G$6:$G$135,Diário!$C$6:$C$135,"S4",Diário!$M$6:$M$135,"Medicina Legal")+SUMIFS(Diário!$K$6:$K$135,Diário!$C$6:$C$135,"S4",Diário!$N$6:$N$135,"Medicina Legal"))/(SUMIFS(Diário!$F$6:$F$135,Diário!$C$6:$C$135,"S4",Diário!$M$6:$M$135,"Medicina Legal")+SUMIFS(Diário!$J$6:$J$135,Diário!$C$6:$C$135,"S4",Diário!$N$6:$N$135,"Medicina Legal")))</f>
        <v/>
      </c>
      <c r="I10" s="27" t="str">
        <f aca="false">IF((SUMIFS(Diário!$F$6:$F$135,Diário!$C$6:$C$135,"S4",Diário!$M$6:$M$135,"Português")+SUMIFS(Diário!$J$6:$J$135,Diário!$C$6:$C$135,"S4",Diário!$N$6:$N$135,"Português"))=0,"",(SUMIFS(Diário!$G$6:$G$135,Diário!$C$6:$C$135,"S4",Diário!$M$6:$M$135,"Português")+SUMIFS(Diário!$K$6:$K$135,Diário!$C$6:$C$135,"S4",Diário!$N$6:$N$135,"Português"))/(SUMIFS(Diário!$F$6:$F$135,Diário!$C$6:$C$135,"S4",Diário!$M$6:$M$135,"Português")+SUMIFS(Diário!$J$6:$J$135,Diário!$C$6:$C$135,"S4",Diário!$N$6:$N$135,"Português")))</f>
        <v/>
      </c>
      <c r="J10" s="27" t="str">
        <f aca="false">IF((SUMIFS(Diário!$F$6:$F$135,Diário!$C$6:$C$135,"S4",Diário!$M$6:$M$135,"Direito")+SUMIFS(Diário!$J$6:$J$135,Diário!$C$6:$C$135,"S4",Diário!$N$6:$N$135,"Direito"))=0,"",(SUMIFS(Diário!$G$6:$G$135,Diário!$C$6:$C$135,"S4",Diário!$M$6:$M$135,"Direito")+SUMIFS(Diário!$K$6:$K$135,Diário!$C$6:$C$135,"S4",Diário!$N$6:$N$135,"Direito"))/(SUMIFS(Diário!$F$6:$F$135,Diário!$C$6:$C$135,"S4",Diário!$M$6:$M$135,"Direito")+SUMIFS(Diário!$J$6:$J$135,Diário!$C$6:$C$135,"S4",Diário!$N$6:$N$135,"Direito")))</f>
        <v/>
      </c>
      <c r="K10" s="6" t="str">
        <f aca="true">IF(D10=0,IF(TODAY()&gt;DATE(2026,11,29),"🔴 Semana sem registro",""),IF(E10&lt;0.5,"🔴 Fale com a mentora",IF(IF(E10&lt;0.8,"fez poucos blocos; ","")&amp;IF(AND(ISNUMBER(H10),H10&lt;0.6),"reforçar Medicina Legal; ","")&amp;IF(AND(ISNUMBER(I10),I10&lt;0.6),"reforçar Português; ","")&amp;IF(AND(ISNUMBER(J10),J10&lt;0.6),"reforçar Direito; ","")="","🟢 No ritmo","🟡 Atenção: "&amp;IF(E10&lt;0.8,"fez poucos blocos; ","")&amp;IF(AND(ISNUMBER(H10),H10&lt;0.6),"reforçar Medicina Legal; ","")&amp;IF(AND(ISNUMBER(I10),I10&lt;0.6),"reforçar Português; ","")&amp;IF(AND(ISNUMBER(J10),J10&lt;0.6),"reforçar Direito; ",""))))</f>
        <v/>
      </c>
    </row>
    <row r="11" customFormat="false" ht="15" hidden="false" customHeight="false" outlineLevel="0" collapsed="false">
      <c r="A11" s="16" t="s">
        <v>88</v>
      </c>
      <c r="B11" s="16" t="s">
        <v>264</v>
      </c>
      <c r="C11" s="16" t="n">
        <f aca="false">COUNTIFS(Diário!$C$6:$C$135,"S5",Diário!$M$6:$M$135,"&lt;&gt;Livre")+COUNTIFS(Diário!$C$6:$C$135,"S5",Diário!$N$6:$N$135,"&lt;&gt;Livre")</f>
        <v>10</v>
      </c>
      <c r="D11" s="16" t="n">
        <f aca="false">COUNTIFS(Diário!$C$6:$C$135,"S5",Diário!$E$6:$E$135,"✓")+COUNTIFS(Diário!$C$6:$C$135,"S5",Diário!$I$6:$I$135,"✓")</f>
        <v>0</v>
      </c>
      <c r="E11" s="27" t="str">
        <f aca="false">IF(D11=0,"",D11/C11)</f>
        <v/>
      </c>
      <c r="F11" s="16" t="n">
        <f aca="false">SUMIFS(Diário!$F$6:$F$135,Diário!$C$6:$C$135,"S5")+SUMIFS(Diário!$J$6:$J$135,Diário!$C$6:$C$135,"S5")</f>
        <v>0</v>
      </c>
      <c r="G11" s="16" t="n">
        <v>50</v>
      </c>
      <c r="H11" s="27" t="str">
        <f aca="false">IF((SUMIFS(Diário!$F$6:$F$135,Diário!$C$6:$C$135,"S5",Diário!$M$6:$M$135,"Medicina Legal")+SUMIFS(Diário!$J$6:$J$135,Diário!$C$6:$C$135,"S5",Diário!$N$6:$N$135,"Medicina Legal"))=0,"",(SUMIFS(Diário!$G$6:$G$135,Diário!$C$6:$C$135,"S5",Diário!$M$6:$M$135,"Medicina Legal")+SUMIFS(Diário!$K$6:$K$135,Diário!$C$6:$C$135,"S5",Diário!$N$6:$N$135,"Medicina Legal"))/(SUMIFS(Diário!$F$6:$F$135,Diário!$C$6:$C$135,"S5",Diário!$M$6:$M$135,"Medicina Legal")+SUMIFS(Diário!$J$6:$J$135,Diário!$C$6:$C$135,"S5",Diário!$N$6:$N$135,"Medicina Legal")))</f>
        <v/>
      </c>
      <c r="I11" s="27" t="str">
        <f aca="false">IF((SUMIFS(Diário!$F$6:$F$135,Diário!$C$6:$C$135,"S5",Diário!$M$6:$M$135,"Português")+SUMIFS(Diário!$J$6:$J$135,Diário!$C$6:$C$135,"S5",Diário!$N$6:$N$135,"Português"))=0,"",(SUMIFS(Diário!$G$6:$G$135,Diário!$C$6:$C$135,"S5",Diário!$M$6:$M$135,"Português")+SUMIFS(Diário!$K$6:$K$135,Diário!$C$6:$C$135,"S5",Diário!$N$6:$N$135,"Português"))/(SUMIFS(Diário!$F$6:$F$135,Diário!$C$6:$C$135,"S5",Diário!$M$6:$M$135,"Português")+SUMIFS(Diário!$J$6:$J$135,Diário!$C$6:$C$135,"S5",Diário!$N$6:$N$135,"Português")))</f>
        <v/>
      </c>
      <c r="J11" s="27" t="str">
        <f aca="false">IF((SUMIFS(Diário!$F$6:$F$135,Diário!$C$6:$C$135,"S5",Diário!$M$6:$M$135,"Direito")+SUMIFS(Diário!$J$6:$J$135,Diário!$C$6:$C$135,"S5",Diário!$N$6:$N$135,"Direito"))=0,"",(SUMIFS(Diário!$G$6:$G$135,Diário!$C$6:$C$135,"S5",Diário!$M$6:$M$135,"Direito")+SUMIFS(Diário!$K$6:$K$135,Diário!$C$6:$C$135,"S5",Diário!$N$6:$N$135,"Direito"))/(SUMIFS(Diário!$F$6:$F$135,Diário!$C$6:$C$135,"S5",Diário!$M$6:$M$135,"Direito")+SUMIFS(Diário!$J$6:$J$135,Diário!$C$6:$C$135,"S5",Diário!$N$6:$N$135,"Direito")))</f>
        <v/>
      </c>
      <c r="K11" s="6" t="str">
        <f aca="true">IF(D11=0,IF(TODAY()&gt;DATE(2026,12,6),"🔴 Semana sem registro",""),IF(E11&lt;0.5,"🔴 Fale com a mentora",IF(IF(E11&lt;0.8,"fez poucos blocos; ","")&amp;IF(AND(ISNUMBER(H11),H11&lt;0.6),"reforçar Medicina Legal; ","")&amp;IF(AND(ISNUMBER(I11),I11&lt;0.6),"reforçar Português; ","")&amp;IF(AND(ISNUMBER(J11),J11&lt;0.6),"reforçar Direito; ","")="","🟢 No ritmo","🟡 Atenção: "&amp;IF(E11&lt;0.8,"fez poucos blocos; ","")&amp;IF(AND(ISNUMBER(H11),H11&lt;0.6),"reforçar Medicina Legal; ","")&amp;IF(AND(ISNUMBER(I11),I11&lt;0.6),"reforçar Português; ","")&amp;IF(AND(ISNUMBER(J11),J11&lt;0.6),"reforçar Direito; ",""))))</f>
        <v/>
      </c>
    </row>
    <row r="12" customFormat="false" ht="15" hidden="false" customHeight="false" outlineLevel="0" collapsed="false">
      <c r="A12" s="16" t="s">
        <v>97</v>
      </c>
      <c r="B12" s="16" t="s">
        <v>265</v>
      </c>
      <c r="C12" s="16" t="n">
        <f aca="false">COUNTIFS(Diário!$C$6:$C$135,"S6",Diário!$M$6:$M$135,"&lt;&gt;Livre")+COUNTIFS(Diário!$C$6:$C$135,"S6",Diário!$N$6:$N$135,"&lt;&gt;Livre")</f>
        <v>10</v>
      </c>
      <c r="D12" s="16" t="n">
        <f aca="false">COUNTIFS(Diário!$C$6:$C$135,"S6",Diário!$E$6:$E$135,"✓")+COUNTIFS(Diário!$C$6:$C$135,"S6",Diário!$I$6:$I$135,"✓")</f>
        <v>0</v>
      </c>
      <c r="E12" s="27" t="str">
        <f aca="false">IF(D12=0,"",D12/C12)</f>
        <v/>
      </c>
      <c r="F12" s="16" t="n">
        <f aca="false">SUMIFS(Diário!$F$6:$F$135,Diário!$C$6:$C$135,"S6")+SUMIFS(Diário!$J$6:$J$135,Diário!$C$6:$C$135,"S6")</f>
        <v>0</v>
      </c>
      <c r="G12" s="16" t="n">
        <v>50</v>
      </c>
      <c r="H12" s="27" t="str">
        <f aca="false">IF((SUMIFS(Diário!$F$6:$F$135,Diário!$C$6:$C$135,"S6",Diário!$M$6:$M$135,"Medicina Legal")+SUMIFS(Diário!$J$6:$J$135,Diário!$C$6:$C$135,"S6",Diário!$N$6:$N$135,"Medicina Legal"))=0,"",(SUMIFS(Diário!$G$6:$G$135,Diário!$C$6:$C$135,"S6",Diário!$M$6:$M$135,"Medicina Legal")+SUMIFS(Diário!$K$6:$K$135,Diário!$C$6:$C$135,"S6",Diário!$N$6:$N$135,"Medicina Legal"))/(SUMIFS(Diário!$F$6:$F$135,Diário!$C$6:$C$135,"S6",Diário!$M$6:$M$135,"Medicina Legal")+SUMIFS(Diário!$J$6:$J$135,Diário!$C$6:$C$135,"S6",Diário!$N$6:$N$135,"Medicina Legal")))</f>
        <v/>
      </c>
      <c r="I12" s="27" t="str">
        <f aca="false">IF((SUMIFS(Diário!$F$6:$F$135,Diário!$C$6:$C$135,"S6",Diário!$M$6:$M$135,"Português")+SUMIFS(Diário!$J$6:$J$135,Diário!$C$6:$C$135,"S6",Diário!$N$6:$N$135,"Português"))=0,"",(SUMIFS(Diário!$G$6:$G$135,Diário!$C$6:$C$135,"S6",Diário!$M$6:$M$135,"Português")+SUMIFS(Diário!$K$6:$K$135,Diário!$C$6:$C$135,"S6",Diário!$N$6:$N$135,"Português"))/(SUMIFS(Diário!$F$6:$F$135,Diário!$C$6:$C$135,"S6",Diário!$M$6:$M$135,"Português")+SUMIFS(Diário!$J$6:$J$135,Diário!$C$6:$C$135,"S6",Diário!$N$6:$N$135,"Português")))</f>
        <v/>
      </c>
      <c r="J12" s="27" t="str">
        <f aca="false">IF((SUMIFS(Diário!$F$6:$F$135,Diário!$C$6:$C$135,"S6",Diário!$M$6:$M$135,"Direito")+SUMIFS(Diário!$J$6:$J$135,Diário!$C$6:$C$135,"S6",Diário!$N$6:$N$135,"Direito"))=0,"",(SUMIFS(Diário!$G$6:$G$135,Diário!$C$6:$C$135,"S6",Diário!$M$6:$M$135,"Direito")+SUMIFS(Diário!$K$6:$K$135,Diário!$C$6:$C$135,"S6",Diário!$N$6:$N$135,"Direito"))/(SUMIFS(Diário!$F$6:$F$135,Diário!$C$6:$C$135,"S6",Diário!$M$6:$M$135,"Direito")+SUMIFS(Diário!$J$6:$J$135,Diário!$C$6:$C$135,"S6",Diário!$N$6:$N$135,"Direito")))</f>
        <v/>
      </c>
      <c r="K12" s="6" t="str">
        <f aca="true">IF(D12=0,IF(TODAY()&gt;DATE(2026,12,13),"🔴 Semana sem registro",""),IF(E12&lt;0.5,"🔴 Fale com a mentora",IF(IF(E12&lt;0.8,"fez poucos blocos; ","")&amp;IF(AND(ISNUMBER(H12),H12&lt;0.6),"reforçar Medicina Legal; ","")&amp;IF(AND(ISNUMBER(I12),I12&lt;0.6),"reforçar Português; ","")&amp;IF(AND(ISNUMBER(J12),J12&lt;0.6),"reforçar Direito; ","")="","🟢 No ritmo","🟡 Atenção: "&amp;IF(E12&lt;0.8,"fez poucos blocos; ","")&amp;IF(AND(ISNUMBER(H12),H12&lt;0.6),"reforçar Medicina Legal; ","")&amp;IF(AND(ISNUMBER(I12),I12&lt;0.6),"reforçar Português; ","")&amp;IF(AND(ISNUMBER(J12),J12&lt;0.6),"reforçar Direito; ",""))))</f>
        <v/>
      </c>
    </row>
    <row r="13" customFormat="false" ht="15" hidden="false" customHeight="false" outlineLevel="0" collapsed="false">
      <c r="A13" s="16" t="s">
        <v>106</v>
      </c>
      <c r="B13" s="16" t="s">
        <v>266</v>
      </c>
      <c r="C13" s="16" t="n">
        <f aca="false">COUNTIFS(Diário!$C$6:$C$135,"S7",Diário!$M$6:$M$135,"&lt;&gt;Livre")+COUNTIFS(Diário!$C$6:$C$135,"S7",Diário!$N$6:$N$135,"&lt;&gt;Livre")</f>
        <v>10</v>
      </c>
      <c r="D13" s="16" t="n">
        <f aca="false">COUNTIFS(Diário!$C$6:$C$135,"S7",Diário!$E$6:$E$135,"✓")+COUNTIFS(Diário!$C$6:$C$135,"S7",Diário!$I$6:$I$135,"✓")</f>
        <v>0</v>
      </c>
      <c r="E13" s="27" t="str">
        <f aca="false">IF(D13=0,"",D13/C13)</f>
        <v/>
      </c>
      <c r="F13" s="16" t="n">
        <f aca="false">SUMIFS(Diário!$F$6:$F$135,Diário!$C$6:$C$135,"S7")+SUMIFS(Diário!$J$6:$J$135,Diário!$C$6:$C$135,"S7")</f>
        <v>0</v>
      </c>
      <c r="G13" s="16" t="n">
        <v>50</v>
      </c>
      <c r="H13" s="27" t="str">
        <f aca="false">IF((SUMIFS(Diário!$F$6:$F$135,Diário!$C$6:$C$135,"S7",Diário!$M$6:$M$135,"Medicina Legal")+SUMIFS(Diário!$J$6:$J$135,Diário!$C$6:$C$135,"S7",Diário!$N$6:$N$135,"Medicina Legal"))=0,"",(SUMIFS(Diário!$G$6:$G$135,Diário!$C$6:$C$135,"S7",Diário!$M$6:$M$135,"Medicina Legal")+SUMIFS(Diário!$K$6:$K$135,Diário!$C$6:$C$135,"S7",Diário!$N$6:$N$135,"Medicina Legal"))/(SUMIFS(Diário!$F$6:$F$135,Diário!$C$6:$C$135,"S7",Diário!$M$6:$M$135,"Medicina Legal")+SUMIFS(Diário!$J$6:$J$135,Diário!$C$6:$C$135,"S7",Diário!$N$6:$N$135,"Medicina Legal")))</f>
        <v/>
      </c>
      <c r="I13" s="27" t="str">
        <f aca="false">IF((SUMIFS(Diário!$F$6:$F$135,Diário!$C$6:$C$135,"S7",Diário!$M$6:$M$135,"Português")+SUMIFS(Diário!$J$6:$J$135,Diário!$C$6:$C$135,"S7",Diário!$N$6:$N$135,"Português"))=0,"",(SUMIFS(Diário!$G$6:$G$135,Diário!$C$6:$C$135,"S7",Diário!$M$6:$M$135,"Português")+SUMIFS(Diário!$K$6:$K$135,Diário!$C$6:$C$135,"S7",Diário!$N$6:$N$135,"Português"))/(SUMIFS(Diário!$F$6:$F$135,Diário!$C$6:$C$135,"S7",Diário!$M$6:$M$135,"Português")+SUMIFS(Diário!$J$6:$J$135,Diário!$C$6:$C$135,"S7",Diário!$N$6:$N$135,"Português")))</f>
        <v/>
      </c>
      <c r="J13" s="27" t="str">
        <f aca="false">IF((SUMIFS(Diário!$F$6:$F$135,Diário!$C$6:$C$135,"S7",Diário!$M$6:$M$135,"Direito")+SUMIFS(Diário!$J$6:$J$135,Diário!$C$6:$C$135,"S7",Diário!$N$6:$N$135,"Direito"))=0,"",(SUMIFS(Diário!$G$6:$G$135,Diário!$C$6:$C$135,"S7",Diário!$M$6:$M$135,"Direito")+SUMIFS(Diário!$K$6:$K$135,Diário!$C$6:$C$135,"S7",Diário!$N$6:$N$135,"Direito"))/(SUMIFS(Diário!$F$6:$F$135,Diário!$C$6:$C$135,"S7",Diário!$M$6:$M$135,"Direito")+SUMIFS(Diário!$J$6:$J$135,Diário!$C$6:$C$135,"S7",Diário!$N$6:$N$135,"Direito")))</f>
        <v/>
      </c>
      <c r="K13" s="6" t="str">
        <f aca="true">IF(D13=0,IF(TODAY()&gt;DATE(2026,12,20),"🔴 Semana sem registro",""),IF(E13&lt;0.5,"🔴 Fale com a mentora",IF(IF(E13&lt;0.8,"fez poucos blocos; ","")&amp;IF(AND(ISNUMBER(H13),H13&lt;0.6),"reforçar Medicina Legal; ","")&amp;IF(AND(ISNUMBER(I13),I13&lt;0.6),"reforçar Português; ","")&amp;IF(AND(ISNUMBER(J13),J13&lt;0.6),"reforçar Direito; ","")="","🟢 No ritmo","🟡 Atenção: "&amp;IF(E13&lt;0.8,"fez poucos blocos; ","")&amp;IF(AND(ISNUMBER(H13),H13&lt;0.6),"reforçar Medicina Legal; ","")&amp;IF(AND(ISNUMBER(I13),I13&lt;0.6),"reforçar Português; ","")&amp;IF(AND(ISNUMBER(J13),J13&lt;0.6),"reforçar Direito; ",""))))</f>
        <v/>
      </c>
    </row>
    <row r="14" customFormat="false" ht="15" hidden="false" customHeight="false" outlineLevel="0" collapsed="false">
      <c r="A14" s="16" t="s">
        <v>115</v>
      </c>
      <c r="B14" s="16" t="s">
        <v>267</v>
      </c>
      <c r="C14" s="16" t="n">
        <f aca="false">COUNTIFS(Diário!$C$6:$C$135,"S8",Diário!$M$6:$M$135,"&lt;&gt;Livre")+COUNTIFS(Diário!$C$6:$C$135,"S8",Diário!$N$6:$N$135,"&lt;&gt;Livre")</f>
        <v>5</v>
      </c>
      <c r="D14" s="16" t="n">
        <f aca="false">COUNTIFS(Diário!$C$6:$C$135,"S8",Diário!$E$6:$E$135,"✓")+COUNTIFS(Diário!$C$6:$C$135,"S8",Diário!$I$6:$I$135,"✓")</f>
        <v>0</v>
      </c>
      <c r="E14" s="27" t="str">
        <f aca="false">IF(D14=0,"",D14/C14)</f>
        <v/>
      </c>
      <c r="F14" s="16" t="n">
        <f aca="false">SUMIFS(Diário!$F$6:$F$135,Diário!$C$6:$C$135,"S8")+SUMIFS(Diário!$J$6:$J$135,Diário!$C$6:$C$135,"S8")</f>
        <v>0</v>
      </c>
      <c r="G14" s="16" t="n">
        <v>30</v>
      </c>
      <c r="H14" s="27" t="str">
        <f aca="false">IF((SUMIFS(Diário!$F$6:$F$135,Diário!$C$6:$C$135,"S8",Diário!$M$6:$M$135,"Medicina Legal")+SUMIFS(Diário!$J$6:$J$135,Diário!$C$6:$C$135,"S8",Diário!$N$6:$N$135,"Medicina Legal"))=0,"",(SUMIFS(Diário!$G$6:$G$135,Diário!$C$6:$C$135,"S8",Diário!$M$6:$M$135,"Medicina Legal")+SUMIFS(Diário!$K$6:$K$135,Diário!$C$6:$C$135,"S8",Diário!$N$6:$N$135,"Medicina Legal"))/(SUMIFS(Diário!$F$6:$F$135,Diário!$C$6:$C$135,"S8",Diário!$M$6:$M$135,"Medicina Legal")+SUMIFS(Diário!$J$6:$J$135,Diário!$C$6:$C$135,"S8",Diário!$N$6:$N$135,"Medicina Legal")))</f>
        <v/>
      </c>
      <c r="I14" s="27" t="str">
        <f aca="false">IF((SUMIFS(Diário!$F$6:$F$135,Diário!$C$6:$C$135,"S8",Diário!$M$6:$M$135,"Português")+SUMIFS(Diário!$J$6:$J$135,Diário!$C$6:$C$135,"S8",Diário!$N$6:$N$135,"Português"))=0,"",(SUMIFS(Diário!$G$6:$G$135,Diário!$C$6:$C$135,"S8",Diário!$M$6:$M$135,"Português")+SUMIFS(Diário!$K$6:$K$135,Diário!$C$6:$C$135,"S8",Diário!$N$6:$N$135,"Português"))/(SUMIFS(Diário!$F$6:$F$135,Diário!$C$6:$C$135,"S8",Diário!$M$6:$M$135,"Português")+SUMIFS(Diário!$J$6:$J$135,Diário!$C$6:$C$135,"S8",Diário!$N$6:$N$135,"Português")))</f>
        <v/>
      </c>
      <c r="J14" s="27" t="str">
        <f aca="false">IF((SUMIFS(Diário!$F$6:$F$135,Diário!$C$6:$C$135,"S8",Diário!$M$6:$M$135,"Direito")+SUMIFS(Diário!$J$6:$J$135,Diário!$C$6:$C$135,"S8",Diário!$N$6:$N$135,"Direito"))=0,"",(SUMIFS(Diário!$G$6:$G$135,Diário!$C$6:$C$135,"S8",Diário!$M$6:$M$135,"Direito")+SUMIFS(Diário!$K$6:$K$135,Diário!$C$6:$C$135,"S8",Diário!$N$6:$N$135,"Direito"))/(SUMIFS(Diário!$F$6:$F$135,Diário!$C$6:$C$135,"S8",Diário!$M$6:$M$135,"Direito")+SUMIFS(Diário!$J$6:$J$135,Diário!$C$6:$C$135,"S8",Diário!$N$6:$N$135,"Direito")))</f>
        <v/>
      </c>
      <c r="K14" s="6" t="str">
        <f aca="true">IF(D14=0,IF(TODAY()&gt;DATE(2026,12,27),"🔴 Semana sem registro",""),IF(E14&lt;0.5,"🔴 Fale com a mentora",IF(IF(E14&lt;0.8,"fez poucos blocos; ","")&amp;IF(AND(ISNUMBER(H14),H14&lt;0.6),"reforçar Medicina Legal; ","")&amp;IF(AND(ISNUMBER(I14),I14&lt;0.6),"reforçar Português; ","")&amp;IF(AND(ISNUMBER(J14),J14&lt;0.6),"reforçar Direito; ","")="","🟢 No ritmo","🟡 Atenção: "&amp;IF(E14&lt;0.8,"fez poucos blocos; ","")&amp;IF(AND(ISNUMBER(H14),H14&lt;0.6),"reforçar Medicina Legal; ","")&amp;IF(AND(ISNUMBER(I14),I14&lt;0.6),"reforçar Português; ","")&amp;IF(AND(ISNUMBER(J14),J14&lt;0.6),"reforçar Direito; ",""))))</f>
        <v/>
      </c>
    </row>
    <row r="15" customFormat="false" ht="15" hidden="false" customHeight="false" outlineLevel="0" collapsed="false">
      <c r="A15" s="16" t="s">
        <v>119</v>
      </c>
      <c r="B15" s="16" t="s">
        <v>268</v>
      </c>
      <c r="C15" s="16" t="n">
        <f aca="false">COUNTIFS(Diário!$C$6:$C$135,"S9",Diário!$M$6:$M$135,"&lt;&gt;Livre")+COUNTIFS(Diário!$C$6:$C$135,"S9",Diário!$N$6:$N$135,"&lt;&gt;Livre")</f>
        <v>10</v>
      </c>
      <c r="D15" s="16" t="n">
        <f aca="false">COUNTIFS(Diário!$C$6:$C$135,"S9",Diário!$E$6:$E$135,"✓")+COUNTIFS(Diário!$C$6:$C$135,"S9",Diário!$I$6:$I$135,"✓")</f>
        <v>0</v>
      </c>
      <c r="E15" s="27" t="str">
        <f aca="false">IF(D15=0,"",D15/C15)</f>
        <v/>
      </c>
      <c r="F15" s="16" t="n">
        <f aca="false">SUMIFS(Diário!$F$6:$F$135,Diário!$C$6:$C$135,"S9")+SUMIFS(Diário!$J$6:$J$135,Diário!$C$6:$C$135,"S9")</f>
        <v>0</v>
      </c>
      <c r="G15" s="16" t="n">
        <v>70</v>
      </c>
      <c r="H15" s="27" t="str">
        <f aca="false">IF((SUMIFS(Diário!$F$6:$F$135,Diário!$C$6:$C$135,"S9",Diário!$M$6:$M$135,"Medicina Legal")+SUMIFS(Diário!$J$6:$J$135,Diário!$C$6:$C$135,"S9",Diário!$N$6:$N$135,"Medicina Legal"))=0,"",(SUMIFS(Diário!$G$6:$G$135,Diário!$C$6:$C$135,"S9",Diário!$M$6:$M$135,"Medicina Legal")+SUMIFS(Diário!$K$6:$K$135,Diário!$C$6:$C$135,"S9",Diário!$N$6:$N$135,"Medicina Legal"))/(SUMIFS(Diário!$F$6:$F$135,Diário!$C$6:$C$135,"S9",Diário!$M$6:$M$135,"Medicina Legal")+SUMIFS(Diário!$J$6:$J$135,Diário!$C$6:$C$135,"S9",Diário!$N$6:$N$135,"Medicina Legal")))</f>
        <v/>
      </c>
      <c r="I15" s="27" t="str">
        <f aca="false">IF((SUMIFS(Diário!$F$6:$F$135,Diário!$C$6:$C$135,"S9",Diário!$M$6:$M$135,"Português")+SUMIFS(Diário!$J$6:$J$135,Diário!$C$6:$C$135,"S9",Diário!$N$6:$N$135,"Português"))=0,"",(SUMIFS(Diário!$G$6:$G$135,Diário!$C$6:$C$135,"S9",Diário!$M$6:$M$135,"Português")+SUMIFS(Diário!$K$6:$K$135,Diário!$C$6:$C$135,"S9",Diário!$N$6:$N$135,"Português"))/(SUMIFS(Diário!$F$6:$F$135,Diário!$C$6:$C$135,"S9",Diário!$M$6:$M$135,"Português")+SUMIFS(Diário!$J$6:$J$135,Diário!$C$6:$C$135,"S9",Diário!$N$6:$N$135,"Português")))</f>
        <v/>
      </c>
      <c r="J15" s="27" t="str">
        <f aca="false">IF((SUMIFS(Diário!$F$6:$F$135,Diário!$C$6:$C$135,"S9",Diário!$M$6:$M$135,"Direito")+SUMIFS(Diário!$J$6:$J$135,Diário!$C$6:$C$135,"S9",Diário!$N$6:$N$135,"Direito"))=0,"",(SUMIFS(Diário!$G$6:$G$135,Diário!$C$6:$C$135,"S9",Diário!$M$6:$M$135,"Direito")+SUMIFS(Diário!$K$6:$K$135,Diário!$C$6:$C$135,"S9",Diário!$N$6:$N$135,"Direito"))/(SUMIFS(Diário!$F$6:$F$135,Diário!$C$6:$C$135,"S9",Diário!$M$6:$M$135,"Direito")+SUMIFS(Diário!$J$6:$J$135,Diário!$C$6:$C$135,"S9",Diário!$N$6:$N$135,"Direito")))</f>
        <v/>
      </c>
      <c r="K15" s="6" t="str">
        <f aca="true">IF(D15=0,IF(TODAY()&gt;DATE(2027,1,3),"🔴 Semana sem registro",""),IF(E15&lt;0.5,"🔴 Fale com a mentora",IF(IF(E15&lt;0.8,"fez poucos blocos; ","")&amp;IF(AND(ISNUMBER(H15),H15&lt;0.6),"reforçar Medicina Legal; ","")&amp;IF(AND(ISNUMBER(I15),I15&lt;0.6),"reforçar Português; ","")&amp;IF(AND(ISNUMBER(J15),J15&lt;0.6),"reforçar Direito; ","")="","🟢 No ritmo","🟡 Atenção: "&amp;IF(E15&lt;0.8,"fez poucos blocos; ","")&amp;IF(AND(ISNUMBER(H15),H15&lt;0.6),"reforçar Medicina Legal; ","")&amp;IF(AND(ISNUMBER(I15),I15&lt;0.6),"reforçar Português; ","")&amp;IF(AND(ISNUMBER(J15),J15&lt;0.6),"reforçar Direito; ",""))))</f>
        <v/>
      </c>
    </row>
    <row r="16" customFormat="false" ht="15" hidden="false" customHeight="false" outlineLevel="0" collapsed="false">
      <c r="A16" s="16" t="s">
        <v>128</v>
      </c>
      <c r="B16" s="16" t="s">
        <v>269</v>
      </c>
      <c r="C16" s="16" t="n">
        <f aca="false">COUNTIFS(Diário!$C$6:$C$135,"S10",Diário!$M$6:$M$135,"&lt;&gt;Livre")+COUNTIFS(Diário!$C$6:$C$135,"S10",Diário!$N$6:$N$135,"&lt;&gt;Livre")</f>
        <v>10</v>
      </c>
      <c r="D16" s="16" t="n">
        <f aca="false">COUNTIFS(Diário!$C$6:$C$135,"S10",Diário!$E$6:$E$135,"✓")+COUNTIFS(Diário!$C$6:$C$135,"S10",Diário!$I$6:$I$135,"✓")</f>
        <v>0</v>
      </c>
      <c r="E16" s="27" t="str">
        <f aca="false">IF(D16=0,"",D16/C16)</f>
        <v/>
      </c>
      <c r="F16" s="16" t="n">
        <f aca="false">SUMIFS(Diário!$F$6:$F$135,Diário!$C$6:$C$135,"S10")+SUMIFS(Diário!$J$6:$J$135,Diário!$C$6:$C$135,"S10")</f>
        <v>0</v>
      </c>
      <c r="G16" s="16" t="n">
        <v>70</v>
      </c>
      <c r="H16" s="27" t="str">
        <f aca="false">IF((SUMIFS(Diário!$F$6:$F$135,Diário!$C$6:$C$135,"S10",Diário!$M$6:$M$135,"Medicina Legal")+SUMIFS(Diário!$J$6:$J$135,Diário!$C$6:$C$135,"S10",Diário!$N$6:$N$135,"Medicina Legal"))=0,"",(SUMIFS(Diário!$G$6:$G$135,Diário!$C$6:$C$135,"S10",Diário!$M$6:$M$135,"Medicina Legal")+SUMIFS(Diário!$K$6:$K$135,Diário!$C$6:$C$135,"S10",Diário!$N$6:$N$135,"Medicina Legal"))/(SUMIFS(Diário!$F$6:$F$135,Diário!$C$6:$C$135,"S10",Diário!$M$6:$M$135,"Medicina Legal")+SUMIFS(Diário!$J$6:$J$135,Diário!$C$6:$C$135,"S10",Diário!$N$6:$N$135,"Medicina Legal")))</f>
        <v/>
      </c>
      <c r="I16" s="27" t="str">
        <f aca="false">IF((SUMIFS(Diário!$F$6:$F$135,Diário!$C$6:$C$135,"S10",Diário!$M$6:$M$135,"Português")+SUMIFS(Diário!$J$6:$J$135,Diário!$C$6:$C$135,"S10",Diário!$N$6:$N$135,"Português"))=0,"",(SUMIFS(Diário!$G$6:$G$135,Diário!$C$6:$C$135,"S10",Diário!$M$6:$M$135,"Português")+SUMIFS(Diário!$K$6:$K$135,Diário!$C$6:$C$135,"S10",Diário!$N$6:$N$135,"Português"))/(SUMIFS(Diário!$F$6:$F$135,Diário!$C$6:$C$135,"S10",Diário!$M$6:$M$135,"Português")+SUMIFS(Diário!$J$6:$J$135,Diário!$C$6:$C$135,"S10",Diário!$N$6:$N$135,"Português")))</f>
        <v/>
      </c>
      <c r="J16" s="27" t="str">
        <f aca="false">IF((SUMIFS(Diário!$F$6:$F$135,Diário!$C$6:$C$135,"S10",Diário!$M$6:$M$135,"Direito")+SUMIFS(Diário!$J$6:$J$135,Diário!$C$6:$C$135,"S10",Diário!$N$6:$N$135,"Direito"))=0,"",(SUMIFS(Diário!$G$6:$G$135,Diário!$C$6:$C$135,"S10",Diário!$M$6:$M$135,"Direito")+SUMIFS(Diário!$K$6:$K$135,Diário!$C$6:$C$135,"S10",Diário!$N$6:$N$135,"Direito"))/(SUMIFS(Diário!$F$6:$F$135,Diário!$C$6:$C$135,"S10",Diário!$M$6:$M$135,"Direito")+SUMIFS(Diário!$J$6:$J$135,Diário!$C$6:$C$135,"S10",Diário!$N$6:$N$135,"Direito")))</f>
        <v/>
      </c>
      <c r="K16" s="6" t="str">
        <f aca="true">IF(D16=0,IF(TODAY()&gt;DATE(2027,1,10),"🔴 Semana sem registro",""),IF(E16&lt;0.5,"🔴 Fale com a mentora",IF(IF(E16&lt;0.8,"fez poucos blocos; ","")&amp;IF(AND(ISNUMBER(H16),H16&lt;0.6),"reforçar Medicina Legal; ","")&amp;IF(AND(ISNUMBER(I16),I16&lt;0.6),"reforçar Português; ","")&amp;IF(AND(ISNUMBER(J16),J16&lt;0.6),"reforçar Direito; ","")="","🟢 No ritmo","🟡 Atenção: "&amp;IF(E16&lt;0.8,"fez poucos blocos; ","")&amp;IF(AND(ISNUMBER(H16),H16&lt;0.6),"reforçar Medicina Legal; ","")&amp;IF(AND(ISNUMBER(I16),I16&lt;0.6),"reforçar Português; ","")&amp;IF(AND(ISNUMBER(J16),J16&lt;0.6),"reforçar Direito; ",""))))</f>
        <v/>
      </c>
    </row>
    <row r="17" customFormat="false" ht="15" hidden="false" customHeight="false" outlineLevel="0" collapsed="false">
      <c r="A17" s="16" t="s">
        <v>137</v>
      </c>
      <c r="B17" s="16" t="s">
        <v>270</v>
      </c>
      <c r="C17" s="16" t="n">
        <f aca="false">COUNTIFS(Diário!$C$6:$C$135,"S11",Diário!$M$6:$M$135,"&lt;&gt;Livre")+COUNTIFS(Diário!$C$6:$C$135,"S11",Diário!$N$6:$N$135,"&lt;&gt;Livre")</f>
        <v>10</v>
      </c>
      <c r="D17" s="16" t="n">
        <f aca="false">COUNTIFS(Diário!$C$6:$C$135,"S11",Diário!$E$6:$E$135,"✓")+COUNTIFS(Diário!$C$6:$C$135,"S11",Diário!$I$6:$I$135,"✓")</f>
        <v>0</v>
      </c>
      <c r="E17" s="27" t="str">
        <f aca="false">IF(D17=0,"",D17/C17)</f>
        <v/>
      </c>
      <c r="F17" s="16" t="n">
        <f aca="false">SUMIFS(Diário!$F$6:$F$135,Diário!$C$6:$C$135,"S11")+SUMIFS(Diário!$J$6:$J$135,Diário!$C$6:$C$135,"S11")</f>
        <v>0</v>
      </c>
      <c r="G17" s="16" t="n">
        <v>70</v>
      </c>
      <c r="H17" s="27" t="str">
        <f aca="false">IF((SUMIFS(Diário!$F$6:$F$135,Diário!$C$6:$C$135,"S11",Diário!$M$6:$M$135,"Medicina Legal")+SUMIFS(Diário!$J$6:$J$135,Diário!$C$6:$C$135,"S11",Diário!$N$6:$N$135,"Medicina Legal"))=0,"",(SUMIFS(Diário!$G$6:$G$135,Diário!$C$6:$C$135,"S11",Diário!$M$6:$M$135,"Medicina Legal")+SUMIFS(Diário!$K$6:$K$135,Diário!$C$6:$C$135,"S11",Diário!$N$6:$N$135,"Medicina Legal"))/(SUMIFS(Diário!$F$6:$F$135,Diário!$C$6:$C$135,"S11",Diário!$M$6:$M$135,"Medicina Legal")+SUMIFS(Diário!$J$6:$J$135,Diário!$C$6:$C$135,"S11",Diário!$N$6:$N$135,"Medicina Legal")))</f>
        <v/>
      </c>
      <c r="I17" s="27" t="str">
        <f aca="false">IF((SUMIFS(Diário!$F$6:$F$135,Diário!$C$6:$C$135,"S11",Diário!$M$6:$M$135,"Português")+SUMIFS(Diário!$J$6:$J$135,Diário!$C$6:$C$135,"S11",Diário!$N$6:$N$135,"Português"))=0,"",(SUMIFS(Diário!$G$6:$G$135,Diário!$C$6:$C$135,"S11",Diário!$M$6:$M$135,"Português")+SUMIFS(Diário!$K$6:$K$135,Diário!$C$6:$C$135,"S11",Diário!$N$6:$N$135,"Português"))/(SUMIFS(Diário!$F$6:$F$135,Diário!$C$6:$C$135,"S11",Diário!$M$6:$M$135,"Português")+SUMIFS(Diário!$J$6:$J$135,Diário!$C$6:$C$135,"S11",Diário!$N$6:$N$135,"Português")))</f>
        <v/>
      </c>
      <c r="J17" s="27" t="str">
        <f aca="false">IF((SUMIFS(Diário!$F$6:$F$135,Diário!$C$6:$C$135,"S11",Diário!$M$6:$M$135,"Direito")+SUMIFS(Diário!$J$6:$J$135,Diário!$C$6:$C$135,"S11",Diário!$N$6:$N$135,"Direito"))=0,"",(SUMIFS(Diário!$G$6:$G$135,Diário!$C$6:$C$135,"S11",Diário!$M$6:$M$135,"Direito")+SUMIFS(Diário!$K$6:$K$135,Diário!$C$6:$C$135,"S11",Diário!$N$6:$N$135,"Direito"))/(SUMIFS(Diário!$F$6:$F$135,Diário!$C$6:$C$135,"S11",Diário!$M$6:$M$135,"Direito")+SUMIFS(Diário!$J$6:$J$135,Diário!$C$6:$C$135,"S11",Diário!$N$6:$N$135,"Direito")))</f>
        <v/>
      </c>
      <c r="K17" s="6" t="str">
        <f aca="true">IF(D17=0,IF(TODAY()&gt;DATE(2027,1,17),"🔴 Semana sem registro",""),IF(E17&lt;0.5,"🔴 Fale com a mentora",IF(IF(E17&lt;0.8,"fez poucos blocos; ","")&amp;IF(AND(ISNUMBER(H17),H17&lt;0.6),"reforçar Medicina Legal; ","")&amp;IF(AND(ISNUMBER(I17),I17&lt;0.6),"reforçar Português; ","")&amp;IF(AND(ISNUMBER(J17),J17&lt;0.6),"reforçar Direito; ","")="","🟢 No ritmo","🟡 Atenção: "&amp;IF(E17&lt;0.8,"fez poucos blocos; ","")&amp;IF(AND(ISNUMBER(H17),H17&lt;0.6),"reforçar Medicina Legal; ","")&amp;IF(AND(ISNUMBER(I17),I17&lt;0.6),"reforçar Português; ","")&amp;IF(AND(ISNUMBER(J17),J17&lt;0.6),"reforçar Direito; ",""))))</f>
        <v/>
      </c>
    </row>
    <row r="18" customFormat="false" ht="15" hidden="false" customHeight="false" outlineLevel="0" collapsed="false">
      <c r="A18" s="16" t="s">
        <v>146</v>
      </c>
      <c r="B18" s="16" t="s">
        <v>271</v>
      </c>
      <c r="C18" s="16" t="n">
        <f aca="false">COUNTIFS(Diário!$C$6:$C$135,"S12",Diário!$M$6:$M$135,"&lt;&gt;Livre")+COUNTIFS(Diário!$C$6:$C$135,"S12",Diário!$N$6:$N$135,"&lt;&gt;Livre")</f>
        <v>10</v>
      </c>
      <c r="D18" s="16" t="n">
        <f aca="false">COUNTIFS(Diário!$C$6:$C$135,"S12",Diário!$E$6:$E$135,"✓")+COUNTIFS(Diário!$C$6:$C$135,"S12",Diário!$I$6:$I$135,"✓")</f>
        <v>0</v>
      </c>
      <c r="E18" s="27" t="str">
        <f aca="false">IF(D18=0,"",D18/C18)</f>
        <v/>
      </c>
      <c r="F18" s="16" t="n">
        <f aca="false">SUMIFS(Diário!$F$6:$F$135,Diário!$C$6:$C$135,"S12")+SUMIFS(Diário!$J$6:$J$135,Diário!$C$6:$C$135,"S12")</f>
        <v>0</v>
      </c>
      <c r="G18" s="16" t="n">
        <v>70</v>
      </c>
      <c r="H18" s="27" t="str">
        <f aca="false">IF((SUMIFS(Diário!$F$6:$F$135,Diário!$C$6:$C$135,"S12",Diário!$M$6:$M$135,"Medicina Legal")+SUMIFS(Diário!$J$6:$J$135,Diário!$C$6:$C$135,"S12",Diário!$N$6:$N$135,"Medicina Legal"))=0,"",(SUMIFS(Diário!$G$6:$G$135,Diário!$C$6:$C$135,"S12",Diário!$M$6:$M$135,"Medicina Legal")+SUMIFS(Diário!$K$6:$K$135,Diário!$C$6:$C$135,"S12",Diário!$N$6:$N$135,"Medicina Legal"))/(SUMIFS(Diário!$F$6:$F$135,Diário!$C$6:$C$135,"S12",Diário!$M$6:$M$135,"Medicina Legal")+SUMIFS(Diário!$J$6:$J$135,Diário!$C$6:$C$135,"S12",Diário!$N$6:$N$135,"Medicina Legal")))</f>
        <v/>
      </c>
      <c r="I18" s="27" t="str">
        <f aca="false">IF((SUMIFS(Diário!$F$6:$F$135,Diário!$C$6:$C$135,"S12",Diário!$M$6:$M$135,"Português")+SUMIFS(Diário!$J$6:$J$135,Diário!$C$6:$C$135,"S12",Diário!$N$6:$N$135,"Português"))=0,"",(SUMIFS(Diário!$G$6:$G$135,Diário!$C$6:$C$135,"S12",Diário!$M$6:$M$135,"Português")+SUMIFS(Diário!$K$6:$K$135,Diário!$C$6:$C$135,"S12",Diário!$N$6:$N$135,"Português"))/(SUMIFS(Diário!$F$6:$F$135,Diário!$C$6:$C$135,"S12",Diário!$M$6:$M$135,"Português")+SUMIFS(Diário!$J$6:$J$135,Diário!$C$6:$C$135,"S12",Diário!$N$6:$N$135,"Português")))</f>
        <v/>
      </c>
      <c r="J18" s="27" t="str">
        <f aca="false">IF((SUMIFS(Diário!$F$6:$F$135,Diário!$C$6:$C$135,"S12",Diário!$M$6:$M$135,"Direito")+SUMIFS(Diário!$J$6:$J$135,Diário!$C$6:$C$135,"S12",Diário!$N$6:$N$135,"Direito"))=0,"",(SUMIFS(Diário!$G$6:$G$135,Diário!$C$6:$C$135,"S12",Diário!$M$6:$M$135,"Direito")+SUMIFS(Diário!$K$6:$K$135,Diário!$C$6:$C$135,"S12",Diário!$N$6:$N$135,"Direito"))/(SUMIFS(Diário!$F$6:$F$135,Diário!$C$6:$C$135,"S12",Diário!$M$6:$M$135,"Direito")+SUMIFS(Diário!$J$6:$J$135,Diário!$C$6:$C$135,"S12",Diário!$N$6:$N$135,"Direito")))</f>
        <v/>
      </c>
      <c r="K18" s="6" t="str">
        <f aca="true">IF(D18=0,IF(TODAY()&gt;DATE(2027,1,24),"🔴 Semana sem registro",""),IF(E18&lt;0.5,"🔴 Fale com a mentora",IF(IF(E18&lt;0.8,"fez poucos blocos; ","")&amp;IF(AND(ISNUMBER(H18),H18&lt;0.6),"reforçar Medicina Legal; ","")&amp;IF(AND(ISNUMBER(I18),I18&lt;0.6),"reforçar Português; ","")&amp;IF(AND(ISNUMBER(J18),J18&lt;0.6),"reforçar Direito; ","")="","🟢 No ritmo","🟡 Atenção: "&amp;IF(E18&lt;0.8,"fez poucos blocos; ","")&amp;IF(AND(ISNUMBER(H18),H18&lt;0.6),"reforçar Medicina Legal; ","")&amp;IF(AND(ISNUMBER(I18),I18&lt;0.6),"reforçar Português; ","")&amp;IF(AND(ISNUMBER(J18),J18&lt;0.6),"reforçar Direito; ",""))))</f>
        <v/>
      </c>
    </row>
    <row r="19" customFormat="false" ht="15" hidden="false" customHeight="false" outlineLevel="0" collapsed="false">
      <c r="A19" s="16" t="s">
        <v>155</v>
      </c>
      <c r="B19" s="16" t="s">
        <v>272</v>
      </c>
      <c r="C19" s="16" t="n">
        <f aca="false">COUNTIFS(Diário!$C$6:$C$135,"S13",Diário!$M$6:$M$135,"&lt;&gt;Livre")+COUNTIFS(Diário!$C$6:$C$135,"S13",Diário!$N$6:$N$135,"&lt;&gt;Livre")</f>
        <v>10</v>
      </c>
      <c r="D19" s="16" t="n">
        <f aca="false">COUNTIFS(Diário!$C$6:$C$135,"S13",Diário!$E$6:$E$135,"✓")+COUNTIFS(Diário!$C$6:$C$135,"S13",Diário!$I$6:$I$135,"✓")</f>
        <v>0</v>
      </c>
      <c r="E19" s="27" t="str">
        <f aca="false">IF(D19=0,"",D19/C19)</f>
        <v/>
      </c>
      <c r="F19" s="16" t="n">
        <f aca="false">SUMIFS(Diário!$F$6:$F$135,Diário!$C$6:$C$135,"S13")+SUMIFS(Diário!$J$6:$J$135,Diário!$C$6:$C$135,"S13")</f>
        <v>0</v>
      </c>
      <c r="G19" s="16" t="n">
        <v>70</v>
      </c>
      <c r="H19" s="27" t="str">
        <f aca="false">IF((SUMIFS(Diário!$F$6:$F$135,Diário!$C$6:$C$135,"S13",Diário!$M$6:$M$135,"Medicina Legal")+SUMIFS(Diário!$J$6:$J$135,Diário!$C$6:$C$135,"S13",Diário!$N$6:$N$135,"Medicina Legal"))=0,"",(SUMIFS(Diário!$G$6:$G$135,Diário!$C$6:$C$135,"S13",Diário!$M$6:$M$135,"Medicina Legal")+SUMIFS(Diário!$K$6:$K$135,Diário!$C$6:$C$135,"S13",Diário!$N$6:$N$135,"Medicina Legal"))/(SUMIFS(Diário!$F$6:$F$135,Diário!$C$6:$C$135,"S13",Diário!$M$6:$M$135,"Medicina Legal")+SUMIFS(Diário!$J$6:$J$135,Diário!$C$6:$C$135,"S13",Diário!$N$6:$N$135,"Medicina Legal")))</f>
        <v/>
      </c>
      <c r="I19" s="27" t="str">
        <f aca="false">IF((SUMIFS(Diário!$F$6:$F$135,Diário!$C$6:$C$135,"S13",Diário!$M$6:$M$135,"Português")+SUMIFS(Diário!$J$6:$J$135,Diário!$C$6:$C$135,"S13",Diário!$N$6:$N$135,"Português"))=0,"",(SUMIFS(Diário!$G$6:$G$135,Diário!$C$6:$C$135,"S13",Diário!$M$6:$M$135,"Português")+SUMIFS(Diário!$K$6:$K$135,Diário!$C$6:$C$135,"S13",Diário!$N$6:$N$135,"Português"))/(SUMIFS(Diário!$F$6:$F$135,Diário!$C$6:$C$135,"S13",Diário!$M$6:$M$135,"Português")+SUMIFS(Diário!$J$6:$J$135,Diário!$C$6:$C$135,"S13",Diário!$N$6:$N$135,"Português")))</f>
        <v/>
      </c>
      <c r="J19" s="27" t="str">
        <f aca="false">IF((SUMIFS(Diário!$F$6:$F$135,Diário!$C$6:$C$135,"S13",Diário!$M$6:$M$135,"Direito")+SUMIFS(Diário!$J$6:$J$135,Diário!$C$6:$C$135,"S13",Diário!$N$6:$N$135,"Direito"))=0,"",(SUMIFS(Diário!$G$6:$G$135,Diário!$C$6:$C$135,"S13",Diário!$M$6:$M$135,"Direito")+SUMIFS(Diário!$K$6:$K$135,Diário!$C$6:$C$135,"S13",Diário!$N$6:$N$135,"Direito"))/(SUMIFS(Diário!$F$6:$F$135,Diário!$C$6:$C$135,"S13",Diário!$M$6:$M$135,"Direito")+SUMIFS(Diário!$J$6:$J$135,Diário!$C$6:$C$135,"S13",Diário!$N$6:$N$135,"Direito")))</f>
        <v/>
      </c>
      <c r="K19" s="6" t="str">
        <f aca="true">IF(D19=0,IF(TODAY()&gt;DATE(2027,1,31),"🔴 Semana sem registro",""),IF(E19&lt;0.5,"🔴 Fale com a mentora",IF(IF(E19&lt;0.8,"fez poucos blocos; ","")&amp;IF(AND(ISNUMBER(H19),H19&lt;0.6),"reforçar Medicina Legal; ","")&amp;IF(AND(ISNUMBER(I19),I19&lt;0.6),"reforçar Português; ","")&amp;IF(AND(ISNUMBER(J19),J19&lt;0.6),"reforçar Direito; ","")="","🟢 No ritmo","🟡 Atenção: "&amp;IF(E19&lt;0.8,"fez poucos blocos; ","")&amp;IF(AND(ISNUMBER(H19),H19&lt;0.6),"reforçar Medicina Legal; ","")&amp;IF(AND(ISNUMBER(I19),I19&lt;0.6),"reforçar Português; ","")&amp;IF(AND(ISNUMBER(J19),J19&lt;0.6),"reforçar Direito; ",""))))</f>
        <v/>
      </c>
    </row>
    <row r="20" customFormat="false" ht="15" hidden="false" customHeight="false" outlineLevel="0" collapsed="false">
      <c r="A20" s="16" t="s">
        <v>167</v>
      </c>
      <c r="B20" s="16" t="s">
        <v>273</v>
      </c>
      <c r="C20" s="16" t="n">
        <f aca="false">COUNTIFS(Diário!$C$6:$C$135,"S14",Diário!$M$6:$M$135,"&lt;&gt;Livre")+COUNTIFS(Diário!$C$6:$C$135,"S14",Diário!$N$6:$N$135,"&lt;&gt;Livre")</f>
        <v>10</v>
      </c>
      <c r="D20" s="16" t="n">
        <f aca="false">COUNTIFS(Diário!$C$6:$C$135,"S14",Diário!$E$6:$E$135,"✓")+COUNTIFS(Diário!$C$6:$C$135,"S14",Diário!$I$6:$I$135,"✓")</f>
        <v>0</v>
      </c>
      <c r="E20" s="27" t="str">
        <f aca="false">IF(D20=0,"",D20/C20)</f>
        <v/>
      </c>
      <c r="F20" s="16" t="n">
        <f aca="false">SUMIFS(Diário!$F$6:$F$135,Diário!$C$6:$C$135,"S14")+SUMIFS(Diário!$J$6:$J$135,Diário!$C$6:$C$135,"S14")</f>
        <v>0</v>
      </c>
      <c r="G20" s="16" t="n">
        <v>70</v>
      </c>
      <c r="H20" s="27" t="str">
        <f aca="false">IF((SUMIFS(Diário!$F$6:$F$135,Diário!$C$6:$C$135,"S14",Diário!$M$6:$M$135,"Medicina Legal")+SUMIFS(Diário!$J$6:$J$135,Diário!$C$6:$C$135,"S14",Diário!$N$6:$N$135,"Medicina Legal"))=0,"",(SUMIFS(Diário!$G$6:$G$135,Diário!$C$6:$C$135,"S14",Diário!$M$6:$M$135,"Medicina Legal")+SUMIFS(Diário!$K$6:$K$135,Diário!$C$6:$C$135,"S14",Diário!$N$6:$N$135,"Medicina Legal"))/(SUMIFS(Diário!$F$6:$F$135,Diário!$C$6:$C$135,"S14",Diário!$M$6:$M$135,"Medicina Legal")+SUMIFS(Diário!$J$6:$J$135,Diário!$C$6:$C$135,"S14",Diário!$N$6:$N$135,"Medicina Legal")))</f>
        <v/>
      </c>
      <c r="I20" s="27" t="str">
        <f aca="false">IF((SUMIFS(Diário!$F$6:$F$135,Diário!$C$6:$C$135,"S14",Diário!$M$6:$M$135,"Português")+SUMIFS(Diário!$J$6:$J$135,Diário!$C$6:$C$135,"S14",Diário!$N$6:$N$135,"Português"))=0,"",(SUMIFS(Diário!$G$6:$G$135,Diário!$C$6:$C$135,"S14",Diário!$M$6:$M$135,"Português")+SUMIFS(Diário!$K$6:$K$135,Diário!$C$6:$C$135,"S14",Diário!$N$6:$N$135,"Português"))/(SUMIFS(Diário!$F$6:$F$135,Diário!$C$6:$C$135,"S14",Diário!$M$6:$M$135,"Português")+SUMIFS(Diário!$J$6:$J$135,Diário!$C$6:$C$135,"S14",Diário!$N$6:$N$135,"Português")))</f>
        <v/>
      </c>
      <c r="J20" s="27" t="str">
        <f aca="false">IF((SUMIFS(Diário!$F$6:$F$135,Diário!$C$6:$C$135,"S14",Diário!$M$6:$M$135,"Direito")+SUMIFS(Diário!$J$6:$J$135,Diário!$C$6:$C$135,"S14",Diário!$N$6:$N$135,"Direito"))=0,"",(SUMIFS(Diário!$G$6:$G$135,Diário!$C$6:$C$135,"S14",Diário!$M$6:$M$135,"Direito")+SUMIFS(Diário!$K$6:$K$135,Diário!$C$6:$C$135,"S14",Diário!$N$6:$N$135,"Direito"))/(SUMIFS(Diário!$F$6:$F$135,Diário!$C$6:$C$135,"S14",Diário!$M$6:$M$135,"Direito")+SUMIFS(Diário!$J$6:$J$135,Diário!$C$6:$C$135,"S14",Diário!$N$6:$N$135,"Direito")))</f>
        <v/>
      </c>
      <c r="K20" s="6" t="str">
        <f aca="true">IF(D20=0,IF(TODAY()&gt;DATE(2027,2,7),"🔴 Semana sem registro",""),IF(E20&lt;0.5,"🔴 Fale com a mentora",IF(IF(E20&lt;0.8,"fez poucos blocos; ","")&amp;IF(AND(ISNUMBER(H20),H20&lt;0.6),"reforçar Medicina Legal; ","")&amp;IF(AND(ISNUMBER(I20),I20&lt;0.6),"reforçar Português; ","")&amp;IF(AND(ISNUMBER(J20),J20&lt;0.6),"reforçar Direito; ","")="","🟢 No ritmo","🟡 Atenção: "&amp;IF(E20&lt;0.8,"fez poucos blocos; ","")&amp;IF(AND(ISNUMBER(H20),H20&lt;0.6),"reforçar Medicina Legal; ","")&amp;IF(AND(ISNUMBER(I20),I20&lt;0.6),"reforçar Português; ","")&amp;IF(AND(ISNUMBER(J20),J20&lt;0.6),"reforçar Direito; ",""))))</f>
        <v/>
      </c>
    </row>
    <row r="21" customFormat="false" ht="15" hidden="false" customHeight="false" outlineLevel="0" collapsed="false">
      <c r="A21" s="16" t="s">
        <v>176</v>
      </c>
      <c r="B21" s="16" t="s">
        <v>274</v>
      </c>
      <c r="C21" s="16" t="n">
        <f aca="false">COUNTIFS(Diário!$C$6:$C$135,"S15",Diário!$M$6:$M$135,"&lt;&gt;Livre")+COUNTIFS(Diário!$C$6:$C$135,"S15",Diário!$N$6:$N$135,"&lt;&gt;Livre")</f>
        <v>5</v>
      </c>
      <c r="D21" s="16" t="n">
        <f aca="false">COUNTIFS(Diário!$C$6:$C$135,"S15",Diário!$E$6:$E$135,"✓")+COUNTIFS(Diário!$C$6:$C$135,"S15",Diário!$I$6:$I$135,"✓")</f>
        <v>0</v>
      </c>
      <c r="E21" s="27" t="str">
        <f aca="false">IF(D21=0,"",D21/C21)</f>
        <v/>
      </c>
      <c r="F21" s="16" t="n">
        <f aca="false">SUMIFS(Diário!$F$6:$F$135,Diário!$C$6:$C$135,"S15")+SUMIFS(Diário!$J$6:$J$135,Diário!$C$6:$C$135,"S15")</f>
        <v>0</v>
      </c>
      <c r="G21" s="16" t="n">
        <v>30</v>
      </c>
      <c r="H21" s="27" t="str">
        <f aca="false">IF((SUMIFS(Diário!$F$6:$F$135,Diário!$C$6:$C$135,"S15",Diário!$M$6:$M$135,"Medicina Legal")+SUMIFS(Diário!$J$6:$J$135,Diário!$C$6:$C$135,"S15",Diário!$N$6:$N$135,"Medicina Legal"))=0,"",(SUMIFS(Diário!$G$6:$G$135,Diário!$C$6:$C$135,"S15",Diário!$M$6:$M$135,"Medicina Legal")+SUMIFS(Diário!$K$6:$K$135,Diário!$C$6:$C$135,"S15",Diário!$N$6:$N$135,"Medicina Legal"))/(SUMIFS(Diário!$F$6:$F$135,Diário!$C$6:$C$135,"S15",Diário!$M$6:$M$135,"Medicina Legal")+SUMIFS(Diário!$J$6:$J$135,Diário!$C$6:$C$135,"S15",Diário!$N$6:$N$135,"Medicina Legal")))</f>
        <v/>
      </c>
      <c r="I21" s="27" t="str">
        <f aca="false">IF((SUMIFS(Diário!$F$6:$F$135,Diário!$C$6:$C$135,"S15",Diário!$M$6:$M$135,"Português")+SUMIFS(Diário!$J$6:$J$135,Diário!$C$6:$C$135,"S15",Diário!$N$6:$N$135,"Português"))=0,"",(SUMIFS(Diário!$G$6:$G$135,Diário!$C$6:$C$135,"S15",Diário!$M$6:$M$135,"Português")+SUMIFS(Diário!$K$6:$K$135,Diário!$C$6:$C$135,"S15",Diário!$N$6:$N$135,"Português"))/(SUMIFS(Diário!$F$6:$F$135,Diário!$C$6:$C$135,"S15",Diário!$M$6:$M$135,"Português")+SUMIFS(Diário!$J$6:$J$135,Diário!$C$6:$C$135,"S15",Diário!$N$6:$N$135,"Português")))</f>
        <v/>
      </c>
      <c r="J21" s="27" t="str">
        <f aca="false">IF((SUMIFS(Diário!$F$6:$F$135,Diário!$C$6:$C$135,"S15",Diário!$M$6:$M$135,"Direito")+SUMIFS(Diário!$J$6:$J$135,Diário!$C$6:$C$135,"S15",Diário!$N$6:$N$135,"Direito"))=0,"",(SUMIFS(Diário!$G$6:$G$135,Diário!$C$6:$C$135,"S15",Diário!$M$6:$M$135,"Direito")+SUMIFS(Diário!$K$6:$K$135,Diário!$C$6:$C$135,"S15",Diário!$N$6:$N$135,"Direito"))/(SUMIFS(Diário!$F$6:$F$135,Diário!$C$6:$C$135,"S15",Diário!$M$6:$M$135,"Direito")+SUMIFS(Diário!$J$6:$J$135,Diário!$C$6:$C$135,"S15",Diário!$N$6:$N$135,"Direito")))</f>
        <v/>
      </c>
      <c r="K21" s="6" t="str">
        <f aca="true">IF(D21=0,IF(TODAY()&gt;DATE(2027,2,14),"🔴 Semana sem registro",""),IF(E21&lt;0.5,"🔴 Fale com a mentora",IF(IF(E21&lt;0.8,"fez poucos blocos; ","")&amp;IF(AND(ISNUMBER(H21),H21&lt;0.6),"reforçar Medicina Legal; ","")&amp;IF(AND(ISNUMBER(I21),I21&lt;0.6),"reforçar Português; ","")&amp;IF(AND(ISNUMBER(J21),J21&lt;0.6),"reforçar Direito; ","")="","🟢 No ritmo","🟡 Atenção: "&amp;IF(E21&lt;0.8,"fez poucos blocos; ","")&amp;IF(AND(ISNUMBER(H21),H21&lt;0.6),"reforçar Medicina Legal; ","")&amp;IF(AND(ISNUMBER(I21),I21&lt;0.6),"reforçar Português; ","")&amp;IF(AND(ISNUMBER(J21),J21&lt;0.6),"reforçar Direito; ",""))))</f>
        <v/>
      </c>
    </row>
    <row r="22" customFormat="false" ht="15" hidden="false" customHeight="false" outlineLevel="0" collapsed="false">
      <c r="A22" s="16" t="s">
        <v>177</v>
      </c>
      <c r="B22" s="16" t="s">
        <v>275</v>
      </c>
      <c r="C22" s="16" t="n">
        <f aca="false">COUNTIFS(Diário!$C$6:$C$135,"S16",Diário!$M$6:$M$135,"&lt;&gt;Livre")+COUNTIFS(Diário!$C$6:$C$135,"S16",Diário!$N$6:$N$135,"&lt;&gt;Livre")</f>
        <v>10</v>
      </c>
      <c r="D22" s="16" t="n">
        <f aca="false">COUNTIFS(Diário!$C$6:$C$135,"S16",Diário!$E$6:$E$135,"✓")+COUNTIFS(Diário!$C$6:$C$135,"S16",Diário!$I$6:$I$135,"✓")</f>
        <v>0</v>
      </c>
      <c r="E22" s="27" t="str">
        <f aca="false">IF(D22=0,"",D22/C22)</f>
        <v/>
      </c>
      <c r="F22" s="16" t="n">
        <f aca="false">SUMIFS(Diário!$F$6:$F$135,Diário!$C$6:$C$135,"S16")+SUMIFS(Diário!$J$6:$J$135,Diário!$C$6:$C$135,"S16")</f>
        <v>0</v>
      </c>
      <c r="G22" s="16" t="n">
        <v>70</v>
      </c>
      <c r="H22" s="27" t="str">
        <f aca="false">IF((SUMIFS(Diário!$F$6:$F$135,Diário!$C$6:$C$135,"S16",Diário!$M$6:$M$135,"Medicina Legal")+SUMIFS(Diário!$J$6:$J$135,Diário!$C$6:$C$135,"S16",Diário!$N$6:$N$135,"Medicina Legal"))=0,"",(SUMIFS(Diário!$G$6:$G$135,Diário!$C$6:$C$135,"S16",Diário!$M$6:$M$135,"Medicina Legal")+SUMIFS(Diário!$K$6:$K$135,Diário!$C$6:$C$135,"S16",Diário!$N$6:$N$135,"Medicina Legal"))/(SUMIFS(Diário!$F$6:$F$135,Diário!$C$6:$C$135,"S16",Diário!$M$6:$M$135,"Medicina Legal")+SUMIFS(Diário!$J$6:$J$135,Diário!$C$6:$C$135,"S16",Diário!$N$6:$N$135,"Medicina Legal")))</f>
        <v/>
      </c>
      <c r="I22" s="27" t="str">
        <f aca="false">IF((SUMIFS(Diário!$F$6:$F$135,Diário!$C$6:$C$135,"S16",Diário!$M$6:$M$135,"Português")+SUMIFS(Diário!$J$6:$J$135,Diário!$C$6:$C$135,"S16",Diário!$N$6:$N$135,"Português"))=0,"",(SUMIFS(Diário!$G$6:$G$135,Diário!$C$6:$C$135,"S16",Diário!$M$6:$M$135,"Português")+SUMIFS(Diário!$K$6:$K$135,Diário!$C$6:$C$135,"S16",Diário!$N$6:$N$135,"Português"))/(SUMIFS(Diário!$F$6:$F$135,Diário!$C$6:$C$135,"S16",Diário!$M$6:$M$135,"Português")+SUMIFS(Diário!$J$6:$J$135,Diário!$C$6:$C$135,"S16",Diário!$N$6:$N$135,"Português")))</f>
        <v/>
      </c>
      <c r="J22" s="27" t="str">
        <f aca="false">IF((SUMIFS(Diário!$F$6:$F$135,Diário!$C$6:$C$135,"S16",Diário!$M$6:$M$135,"Direito")+SUMIFS(Diário!$J$6:$J$135,Diário!$C$6:$C$135,"S16",Diário!$N$6:$N$135,"Direito"))=0,"",(SUMIFS(Diário!$G$6:$G$135,Diário!$C$6:$C$135,"S16",Diário!$M$6:$M$135,"Direito")+SUMIFS(Diário!$K$6:$K$135,Diário!$C$6:$C$135,"S16",Diário!$N$6:$N$135,"Direito"))/(SUMIFS(Diário!$F$6:$F$135,Diário!$C$6:$C$135,"S16",Diário!$M$6:$M$135,"Direito")+SUMIFS(Diário!$J$6:$J$135,Diário!$C$6:$C$135,"S16",Diário!$N$6:$N$135,"Direito")))</f>
        <v/>
      </c>
      <c r="K22" s="6" t="str">
        <f aca="true">IF(D22=0,IF(TODAY()&gt;DATE(2027,2,21),"🔴 Semana sem registro",""),IF(E22&lt;0.5,"🔴 Fale com a mentora",IF(IF(E22&lt;0.8,"fez poucos blocos; ","")&amp;IF(AND(ISNUMBER(H22),H22&lt;0.6),"reforçar Medicina Legal; ","")&amp;IF(AND(ISNUMBER(I22),I22&lt;0.6),"reforçar Português; ","")&amp;IF(AND(ISNUMBER(J22),J22&lt;0.6),"reforçar Direito; ","")="","🟢 No ritmo","🟡 Atenção: "&amp;IF(E22&lt;0.8,"fez poucos blocos; ","")&amp;IF(AND(ISNUMBER(H22),H22&lt;0.6),"reforçar Medicina Legal; ","")&amp;IF(AND(ISNUMBER(I22),I22&lt;0.6),"reforçar Português; ","")&amp;IF(AND(ISNUMBER(J22),J22&lt;0.6),"reforçar Direito; ",""))))</f>
        <v/>
      </c>
    </row>
    <row r="23" customFormat="false" ht="15" hidden="false" customHeight="false" outlineLevel="0" collapsed="false">
      <c r="A23" s="16" t="s">
        <v>186</v>
      </c>
      <c r="B23" s="16" t="s">
        <v>276</v>
      </c>
      <c r="C23" s="16" t="n">
        <f aca="false">COUNTIFS(Diário!$C$6:$C$135,"S17",Diário!$M$6:$M$135,"&lt;&gt;Livre")+COUNTIFS(Diário!$C$6:$C$135,"S17",Diário!$N$6:$N$135,"&lt;&gt;Livre")</f>
        <v>10</v>
      </c>
      <c r="D23" s="16" t="n">
        <f aca="false">COUNTIFS(Diário!$C$6:$C$135,"S17",Diário!$E$6:$E$135,"✓")+COUNTIFS(Diário!$C$6:$C$135,"S17",Diário!$I$6:$I$135,"✓")</f>
        <v>0</v>
      </c>
      <c r="E23" s="27" t="str">
        <f aca="false">IF(D23=0,"",D23/C23)</f>
        <v/>
      </c>
      <c r="F23" s="16" t="n">
        <f aca="false">SUMIFS(Diário!$F$6:$F$135,Diário!$C$6:$C$135,"S17")+SUMIFS(Diário!$J$6:$J$135,Diário!$C$6:$C$135,"S17")</f>
        <v>0</v>
      </c>
      <c r="G23" s="16" t="n">
        <v>70</v>
      </c>
      <c r="H23" s="27" t="str">
        <f aca="false">IF((SUMIFS(Diário!$F$6:$F$135,Diário!$C$6:$C$135,"S17",Diário!$M$6:$M$135,"Medicina Legal")+SUMIFS(Diário!$J$6:$J$135,Diário!$C$6:$C$135,"S17",Diário!$N$6:$N$135,"Medicina Legal"))=0,"",(SUMIFS(Diário!$G$6:$G$135,Diário!$C$6:$C$135,"S17",Diário!$M$6:$M$135,"Medicina Legal")+SUMIFS(Diário!$K$6:$K$135,Diário!$C$6:$C$135,"S17",Diário!$N$6:$N$135,"Medicina Legal"))/(SUMIFS(Diário!$F$6:$F$135,Diário!$C$6:$C$135,"S17",Diário!$M$6:$M$135,"Medicina Legal")+SUMIFS(Diário!$J$6:$J$135,Diário!$C$6:$C$135,"S17",Diário!$N$6:$N$135,"Medicina Legal")))</f>
        <v/>
      </c>
      <c r="I23" s="27" t="str">
        <f aca="false">IF((SUMIFS(Diário!$F$6:$F$135,Diário!$C$6:$C$135,"S17",Diário!$M$6:$M$135,"Português")+SUMIFS(Diário!$J$6:$J$135,Diário!$C$6:$C$135,"S17",Diário!$N$6:$N$135,"Português"))=0,"",(SUMIFS(Diário!$G$6:$G$135,Diário!$C$6:$C$135,"S17",Diário!$M$6:$M$135,"Português")+SUMIFS(Diário!$K$6:$K$135,Diário!$C$6:$C$135,"S17",Diário!$N$6:$N$135,"Português"))/(SUMIFS(Diário!$F$6:$F$135,Diário!$C$6:$C$135,"S17",Diário!$M$6:$M$135,"Português")+SUMIFS(Diário!$J$6:$J$135,Diário!$C$6:$C$135,"S17",Diário!$N$6:$N$135,"Português")))</f>
        <v/>
      </c>
      <c r="J23" s="27" t="str">
        <f aca="false">IF((SUMIFS(Diário!$F$6:$F$135,Diário!$C$6:$C$135,"S17",Diário!$M$6:$M$135,"Direito")+SUMIFS(Diário!$J$6:$J$135,Diário!$C$6:$C$135,"S17",Diário!$N$6:$N$135,"Direito"))=0,"",(SUMIFS(Diário!$G$6:$G$135,Diário!$C$6:$C$135,"S17",Diário!$M$6:$M$135,"Direito")+SUMIFS(Diário!$K$6:$K$135,Diário!$C$6:$C$135,"S17",Diário!$N$6:$N$135,"Direito"))/(SUMIFS(Diário!$F$6:$F$135,Diário!$C$6:$C$135,"S17",Diário!$M$6:$M$135,"Direito")+SUMIFS(Diário!$J$6:$J$135,Diário!$C$6:$C$135,"S17",Diário!$N$6:$N$135,"Direito")))</f>
        <v/>
      </c>
      <c r="K23" s="6" t="str">
        <f aca="true">IF(D23=0,IF(TODAY()&gt;DATE(2027,2,28),"🔴 Semana sem registro",""),IF(E23&lt;0.5,"🔴 Fale com a mentora",IF(IF(E23&lt;0.8,"fez poucos blocos; ","")&amp;IF(AND(ISNUMBER(H23),H23&lt;0.6),"reforçar Medicina Legal; ","")&amp;IF(AND(ISNUMBER(I23),I23&lt;0.6),"reforçar Português; ","")&amp;IF(AND(ISNUMBER(J23),J23&lt;0.6),"reforçar Direito; ","")="","🟢 No ritmo","🟡 Atenção: "&amp;IF(E23&lt;0.8,"fez poucos blocos; ","")&amp;IF(AND(ISNUMBER(H23),H23&lt;0.6),"reforçar Medicina Legal; ","")&amp;IF(AND(ISNUMBER(I23),I23&lt;0.6),"reforçar Português; ","")&amp;IF(AND(ISNUMBER(J23),J23&lt;0.6),"reforçar Direito; ",""))))</f>
        <v/>
      </c>
    </row>
    <row r="24" customFormat="false" ht="15" hidden="false" customHeight="false" outlineLevel="0" collapsed="false">
      <c r="A24" s="16" t="s">
        <v>195</v>
      </c>
      <c r="B24" s="16" t="s">
        <v>277</v>
      </c>
      <c r="C24" s="16" t="n">
        <f aca="false">COUNTIFS(Diário!$C$6:$C$135,"S18",Diário!$M$6:$M$135,"&lt;&gt;Livre")+COUNTIFS(Diário!$C$6:$C$135,"S18",Diário!$N$6:$N$135,"&lt;&gt;Livre")</f>
        <v>10</v>
      </c>
      <c r="D24" s="16" t="n">
        <f aca="false">COUNTIFS(Diário!$C$6:$C$135,"S18",Diário!$E$6:$E$135,"✓")+COUNTIFS(Diário!$C$6:$C$135,"S18",Diário!$I$6:$I$135,"✓")</f>
        <v>0</v>
      </c>
      <c r="E24" s="27" t="str">
        <f aca="false">IF(D24=0,"",D24/C24)</f>
        <v/>
      </c>
      <c r="F24" s="16" t="n">
        <f aca="false">SUMIFS(Diário!$F$6:$F$135,Diário!$C$6:$C$135,"S18")+SUMIFS(Diário!$J$6:$J$135,Diário!$C$6:$C$135,"S18")</f>
        <v>0</v>
      </c>
      <c r="G24" s="16" t="n">
        <v>70</v>
      </c>
      <c r="H24" s="27" t="str">
        <f aca="false">IF((SUMIFS(Diário!$F$6:$F$135,Diário!$C$6:$C$135,"S18",Diário!$M$6:$M$135,"Medicina Legal")+SUMIFS(Diário!$J$6:$J$135,Diário!$C$6:$C$135,"S18",Diário!$N$6:$N$135,"Medicina Legal"))=0,"",(SUMIFS(Diário!$G$6:$G$135,Diário!$C$6:$C$135,"S18",Diário!$M$6:$M$135,"Medicina Legal")+SUMIFS(Diário!$K$6:$K$135,Diário!$C$6:$C$135,"S18",Diário!$N$6:$N$135,"Medicina Legal"))/(SUMIFS(Diário!$F$6:$F$135,Diário!$C$6:$C$135,"S18",Diário!$M$6:$M$135,"Medicina Legal")+SUMIFS(Diário!$J$6:$J$135,Diário!$C$6:$C$135,"S18",Diário!$N$6:$N$135,"Medicina Legal")))</f>
        <v/>
      </c>
      <c r="I24" s="27" t="str">
        <f aca="false">IF((SUMIFS(Diário!$F$6:$F$135,Diário!$C$6:$C$135,"S18",Diário!$M$6:$M$135,"Português")+SUMIFS(Diário!$J$6:$J$135,Diário!$C$6:$C$135,"S18",Diário!$N$6:$N$135,"Português"))=0,"",(SUMIFS(Diário!$G$6:$G$135,Diário!$C$6:$C$135,"S18",Diário!$M$6:$M$135,"Português")+SUMIFS(Diário!$K$6:$K$135,Diário!$C$6:$C$135,"S18",Diário!$N$6:$N$135,"Português"))/(SUMIFS(Diário!$F$6:$F$135,Diário!$C$6:$C$135,"S18",Diário!$M$6:$M$135,"Português")+SUMIFS(Diário!$J$6:$J$135,Diário!$C$6:$C$135,"S18",Diário!$N$6:$N$135,"Português")))</f>
        <v/>
      </c>
      <c r="J24" s="27" t="str">
        <f aca="false">IF((SUMIFS(Diário!$F$6:$F$135,Diário!$C$6:$C$135,"S18",Diário!$M$6:$M$135,"Direito")+SUMIFS(Diário!$J$6:$J$135,Diário!$C$6:$C$135,"S18",Diário!$N$6:$N$135,"Direito"))=0,"",(SUMIFS(Diário!$G$6:$G$135,Diário!$C$6:$C$135,"S18",Diário!$M$6:$M$135,"Direito")+SUMIFS(Diário!$K$6:$K$135,Diário!$C$6:$C$135,"S18",Diário!$N$6:$N$135,"Direito"))/(SUMIFS(Diário!$F$6:$F$135,Diário!$C$6:$C$135,"S18",Diário!$M$6:$M$135,"Direito")+SUMIFS(Diário!$J$6:$J$135,Diário!$C$6:$C$135,"S18",Diário!$N$6:$N$135,"Direito")))</f>
        <v/>
      </c>
      <c r="K24" s="6" t="str">
        <f aca="true">IF(D24=0,IF(TODAY()&gt;DATE(2027,3,7),"🔴 Semana sem registro",""),IF(E24&lt;0.5,"🔴 Fale com a mentora",IF(IF(E24&lt;0.8,"fez poucos blocos; ","")&amp;IF(AND(ISNUMBER(H24),H24&lt;0.6),"reforçar Medicina Legal; ","")&amp;IF(AND(ISNUMBER(I24),I24&lt;0.6),"reforçar Português; ","")&amp;IF(AND(ISNUMBER(J24),J24&lt;0.6),"reforçar Direito; ","")="","🟢 No ritmo","🟡 Atenção: "&amp;IF(E24&lt;0.8,"fez poucos blocos; ","")&amp;IF(AND(ISNUMBER(H24),H24&lt;0.6),"reforçar Medicina Legal; ","")&amp;IF(AND(ISNUMBER(I24),I24&lt;0.6),"reforçar Português; ","")&amp;IF(AND(ISNUMBER(J24),J24&lt;0.6),"reforçar Direito; ",""))))</f>
        <v/>
      </c>
    </row>
    <row r="25" customFormat="false" ht="15" hidden="false" customHeight="false" outlineLevel="0" collapsed="false">
      <c r="A25" s="16" t="s">
        <v>204</v>
      </c>
      <c r="B25" s="16" t="s">
        <v>278</v>
      </c>
      <c r="C25" s="16" t="n">
        <f aca="false">COUNTIFS(Diário!$C$6:$C$135,"S19",Diário!$M$6:$M$135,"&lt;&gt;Livre")+COUNTIFS(Diário!$C$6:$C$135,"S19",Diário!$N$6:$N$135,"&lt;&gt;Livre")</f>
        <v>10</v>
      </c>
      <c r="D25" s="16" t="n">
        <f aca="false">COUNTIFS(Diário!$C$6:$C$135,"S19",Diário!$E$6:$E$135,"✓")+COUNTIFS(Diário!$C$6:$C$135,"S19",Diário!$I$6:$I$135,"✓")</f>
        <v>0</v>
      </c>
      <c r="E25" s="27" t="str">
        <f aca="false">IF(D25=0,"",D25/C25)</f>
        <v/>
      </c>
      <c r="F25" s="16" t="n">
        <f aca="false">SUMIFS(Diário!$F$6:$F$135,Diário!$C$6:$C$135,"S19")+SUMIFS(Diário!$J$6:$J$135,Diário!$C$6:$C$135,"S19")</f>
        <v>0</v>
      </c>
      <c r="G25" s="16" t="n">
        <v>70</v>
      </c>
      <c r="H25" s="27" t="str">
        <f aca="false">IF((SUMIFS(Diário!$F$6:$F$135,Diário!$C$6:$C$135,"S19",Diário!$M$6:$M$135,"Medicina Legal")+SUMIFS(Diário!$J$6:$J$135,Diário!$C$6:$C$135,"S19",Diário!$N$6:$N$135,"Medicina Legal"))=0,"",(SUMIFS(Diário!$G$6:$G$135,Diário!$C$6:$C$135,"S19",Diário!$M$6:$M$135,"Medicina Legal")+SUMIFS(Diário!$K$6:$K$135,Diário!$C$6:$C$135,"S19",Diário!$N$6:$N$135,"Medicina Legal"))/(SUMIFS(Diário!$F$6:$F$135,Diário!$C$6:$C$135,"S19",Diário!$M$6:$M$135,"Medicina Legal")+SUMIFS(Diário!$J$6:$J$135,Diário!$C$6:$C$135,"S19",Diário!$N$6:$N$135,"Medicina Legal")))</f>
        <v/>
      </c>
      <c r="I25" s="27" t="str">
        <f aca="false">IF((SUMIFS(Diário!$F$6:$F$135,Diário!$C$6:$C$135,"S19",Diário!$M$6:$M$135,"Português")+SUMIFS(Diário!$J$6:$J$135,Diário!$C$6:$C$135,"S19",Diário!$N$6:$N$135,"Português"))=0,"",(SUMIFS(Diário!$G$6:$G$135,Diário!$C$6:$C$135,"S19",Diário!$M$6:$M$135,"Português")+SUMIFS(Diário!$K$6:$K$135,Diário!$C$6:$C$135,"S19",Diário!$N$6:$N$135,"Português"))/(SUMIFS(Diário!$F$6:$F$135,Diário!$C$6:$C$135,"S19",Diário!$M$6:$M$135,"Português")+SUMIFS(Diário!$J$6:$J$135,Diário!$C$6:$C$135,"S19",Diário!$N$6:$N$135,"Português")))</f>
        <v/>
      </c>
      <c r="J25" s="27" t="str">
        <f aca="false">IF((SUMIFS(Diário!$F$6:$F$135,Diário!$C$6:$C$135,"S19",Diário!$M$6:$M$135,"Direito")+SUMIFS(Diário!$J$6:$J$135,Diário!$C$6:$C$135,"S19",Diário!$N$6:$N$135,"Direito"))=0,"",(SUMIFS(Diário!$G$6:$G$135,Diário!$C$6:$C$135,"S19",Diário!$M$6:$M$135,"Direito")+SUMIFS(Diário!$K$6:$K$135,Diário!$C$6:$C$135,"S19",Diário!$N$6:$N$135,"Direito"))/(SUMIFS(Diário!$F$6:$F$135,Diário!$C$6:$C$135,"S19",Diário!$M$6:$M$135,"Direito")+SUMIFS(Diário!$J$6:$J$135,Diário!$C$6:$C$135,"S19",Diário!$N$6:$N$135,"Direito")))</f>
        <v/>
      </c>
      <c r="K25" s="6" t="str">
        <f aca="true">IF(D25=0,IF(TODAY()&gt;DATE(2027,3,14),"🔴 Semana sem registro",""),IF(E25&lt;0.5,"🔴 Fale com a mentora",IF(IF(E25&lt;0.8,"fez poucos blocos; ","")&amp;IF(AND(ISNUMBER(H25),H25&lt;0.6),"reforçar Medicina Legal; ","")&amp;IF(AND(ISNUMBER(I25),I25&lt;0.6),"reforçar Português; ","")&amp;IF(AND(ISNUMBER(J25),J25&lt;0.6),"reforçar Direito; ","")="","🟢 No ritmo","🟡 Atenção: "&amp;IF(E25&lt;0.8,"fez poucos blocos; ","")&amp;IF(AND(ISNUMBER(H25),H25&lt;0.6),"reforçar Medicina Legal; ","")&amp;IF(AND(ISNUMBER(I25),I25&lt;0.6),"reforçar Português; ","")&amp;IF(AND(ISNUMBER(J25),J25&lt;0.6),"reforçar Direito; ",""))))</f>
        <v/>
      </c>
    </row>
    <row r="26" customFormat="false" ht="15" hidden="false" customHeight="false" outlineLevel="0" collapsed="false">
      <c r="A26" s="16" t="s">
        <v>211</v>
      </c>
      <c r="B26" s="16" t="s">
        <v>279</v>
      </c>
      <c r="C26" s="16" t="n">
        <f aca="false">COUNTIFS(Diário!$C$6:$C$135,"S20",Diário!$M$6:$M$135,"&lt;&gt;Livre")+COUNTIFS(Diário!$C$6:$C$135,"S20",Diário!$N$6:$N$135,"&lt;&gt;Livre")</f>
        <v>10</v>
      </c>
      <c r="D26" s="16" t="n">
        <f aca="false">COUNTIFS(Diário!$C$6:$C$135,"S20",Diário!$E$6:$E$135,"✓")+COUNTIFS(Diário!$C$6:$C$135,"S20",Diário!$I$6:$I$135,"✓")</f>
        <v>0</v>
      </c>
      <c r="E26" s="27" t="str">
        <f aca="false">IF(D26=0,"",D26/C26)</f>
        <v/>
      </c>
      <c r="F26" s="16" t="n">
        <f aca="false">SUMIFS(Diário!$F$6:$F$135,Diário!$C$6:$C$135,"S20")+SUMIFS(Diário!$J$6:$J$135,Diário!$C$6:$C$135,"S20")</f>
        <v>0</v>
      </c>
      <c r="G26" s="16" t="n">
        <v>70</v>
      </c>
      <c r="H26" s="27" t="str">
        <f aca="false">IF((SUMIFS(Diário!$F$6:$F$135,Diário!$C$6:$C$135,"S20",Diário!$M$6:$M$135,"Medicina Legal")+SUMIFS(Diário!$J$6:$J$135,Diário!$C$6:$C$135,"S20",Diário!$N$6:$N$135,"Medicina Legal"))=0,"",(SUMIFS(Diário!$G$6:$G$135,Diário!$C$6:$C$135,"S20",Diário!$M$6:$M$135,"Medicina Legal")+SUMIFS(Diário!$K$6:$K$135,Diário!$C$6:$C$135,"S20",Diário!$N$6:$N$135,"Medicina Legal"))/(SUMIFS(Diário!$F$6:$F$135,Diário!$C$6:$C$135,"S20",Diário!$M$6:$M$135,"Medicina Legal")+SUMIFS(Diário!$J$6:$J$135,Diário!$C$6:$C$135,"S20",Diário!$N$6:$N$135,"Medicina Legal")))</f>
        <v/>
      </c>
      <c r="I26" s="27" t="str">
        <f aca="false">IF((SUMIFS(Diário!$F$6:$F$135,Diário!$C$6:$C$135,"S20",Diário!$M$6:$M$135,"Português")+SUMIFS(Diário!$J$6:$J$135,Diário!$C$6:$C$135,"S20",Diário!$N$6:$N$135,"Português"))=0,"",(SUMIFS(Diário!$G$6:$G$135,Diário!$C$6:$C$135,"S20",Diário!$M$6:$M$135,"Português")+SUMIFS(Diário!$K$6:$K$135,Diário!$C$6:$C$135,"S20",Diário!$N$6:$N$135,"Português"))/(SUMIFS(Diário!$F$6:$F$135,Diário!$C$6:$C$135,"S20",Diário!$M$6:$M$135,"Português")+SUMIFS(Diário!$J$6:$J$135,Diário!$C$6:$C$135,"S20",Diário!$N$6:$N$135,"Português")))</f>
        <v/>
      </c>
      <c r="J26" s="27" t="str">
        <f aca="false">IF((SUMIFS(Diário!$F$6:$F$135,Diário!$C$6:$C$135,"S20",Diário!$M$6:$M$135,"Direito")+SUMIFS(Diário!$J$6:$J$135,Diário!$C$6:$C$135,"S20",Diário!$N$6:$N$135,"Direito"))=0,"",(SUMIFS(Diário!$G$6:$G$135,Diário!$C$6:$C$135,"S20",Diário!$M$6:$M$135,"Direito")+SUMIFS(Diário!$K$6:$K$135,Diário!$C$6:$C$135,"S20",Diário!$N$6:$N$135,"Direito"))/(SUMIFS(Diário!$F$6:$F$135,Diário!$C$6:$C$135,"S20",Diário!$M$6:$M$135,"Direito")+SUMIFS(Diário!$J$6:$J$135,Diário!$C$6:$C$135,"S20",Diário!$N$6:$N$135,"Direito")))</f>
        <v/>
      </c>
      <c r="K26" s="6" t="str">
        <f aca="true">IF(D26=0,IF(TODAY()&gt;DATE(2027,3,21),"🔴 Semana sem registro",""),IF(E26&lt;0.5,"🔴 Fale com a mentora",IF(IF(E26&lt;0.8,"fez poucos blocos; ","")&amp;IF(AND(ISNUMBER(H26),H26&lt;0.6),"reforçar Medicina Legal; ","")&amp;IF(AND(ISNUMBER(I26),I26&lt;0.6),"reforçar Português; ","")&amp;IF(AND(ISNUMBER(J26),J26&lt;0.6),"reforçar Direito; ","")="","🟢 No ritmo","🟡 Atenção: "&amp;IF(E26&lt;0.8,"fez poucos blocos; ","")&amp;IF(AND(ISNUMBER(H26),H26&lt;0.6),"reforçar Medicina Legal; ","")&amp;IF(AND(ISNUMBER(I26),I26&lt;0.6),"reforçar Português; ","")&amp;IF(AND(ISNUMBER(J26),J26&lt;0.6),"reforçar Direito; ",""))))</f>
        <v/>
      </c>
    </row>
    <row r="27" customFormat="false" ht="15" hidden="false" customHeight="false" outlineLevel="0" collapsed="false">
      <c r="A27" s="16" t="s">
        <v>218</v>
      </c>
      <c r="B27" s="16" t="s">
        <v>280</v>
      </c>
      <c r="C27" s="16" t="n">
        <f aca="false">COUNTIFS(Diário!$C$6:$C$135,"S21",Diário!$M$6:$M$135,"&lt;&gt;Livre")+COUNTIFS(Diário!$C$6:$C$135,"S21",Diário!$N$6:$N$135,"&lt;&gt;Livre")</f>
        <v>10</v>
      </c>
      <c r="D27" s="16" t="n">
        <f aca="false">COUNTIFS(Diário!$C$6:$C$135,"S21",Diário!$E$6:$E$135,"✓")+COUNTIFS(Diário!$C$6:$C$135,"S21",Diário!$I$6:$I$135,"✓")</f>
        <v>0</v>
      </c>
      <c r="E27" s="27" t="str">
        <f aca="false">IF(D27=0,"",D27/C27)</f>
        <v/>
      </c>
      <c r="F27" s="16" t="n">
        <f aca="false">SUMIFS(Diário!$F$6:$F$135,Diário!$C$6:$C$135,"S21")+SUMIFS(Diário!$J$6:$J$135,Diário!$C$6:$C$135,"S21")</f>
        <v>0</v>
      </c>
      <c r="G27" s="16" t="n">
        <v>120</v>
      </c>
      <c r="H27" s="27" t="str">
        <f aca="false">IF((SUMIFS(Diário!$F$6:$F$135,Diário!$C$6:$C$135,"S21",Diário!$M$6:$M$135,"Medicina Legal")+SUMIFS(Diário!$J$6:$J$135,Diário!$C$6:$C$135,"S21",Diário!$N$6:$N$135,"Medicina Legal"))=0,"",(SUMIFS(Diário!$G$6:$G$135,Diário!$C$6:$C$135,"S21",Diário!$M$6:$M$135,"Medicina Legal")+SUMIFS(Diário!$K$6:$K$135,Diário!$C$6:$C$135,"S21",Diário!$N$6:$N$135,"Medicina Legal"))/(SUMIFS(Diário!$F$6:$F$135,Diário!$C$6:$C$135,"S21",Diário!$M$6:$M$135,"Medicina Legal")+SUMIFS(Diário!$J$6:$J$135,Diário!$C$6:$C$135,"S21",Diário!$N$6:$N$135,"Medicina Legal")))</f>
        <v/>
      </c>
      <c r="I27" s="27" t="str">
        <f aca="false">IF((SUMIFS(Diário!$F$6:$F$135,Diário!$C$6:$C$135,"S21",Diário!$M$6:$M$135,"Português")+SUMIFS(Diário!$J$6:$J$135,Diário!$C$6:$C$135,"S21",Diário!$N$6:$N$135,"Português"))=0,"",(SUMIFS(Diário!$G$6:$G$135,Diário!$C$6:$C$135,"S21",Diário!$M$6:$M$135,"Português")+SUMIFS(Diário!$K$6:$K$135,Diário!$C$6:$C$135,"S21",Diário!$N$6:$N$135,"Português"))/(SUMIFS(Diário!$F$6:$F$135,Diário!$C$6:$C$135,"S21",Diário!$M$6:$M$135,"Português")+SUMIFS(Diário!$J$6:$J$135,Diário!$C$6:$C$135,"S21",Diário!$N$6:$N$135,"Português")))</f>
        <v/>
      </c>
      <c r="J27" s="27" t="str">
        <f aca="false">IF((SUMIFS(Diário!$F$6:$F$135,Diário!$C$6:$C$135,"S21",Diário!$M$6:$M$135,"Direito")+SUMIFS(Diário!$J$6:$J$135,Diário!$C$6:$C$135,"S21",Diário!$N$6:$N$135,"Direito"))=0,"",(SUMIFS(Diário!$G$6:$G$135,Diário!$C$6:$C$135,"S21",Diário!$M$6:$M$135,"Direito")+SUMIFS(Diário!$K$6:$K$135,Diário!$C$6:$C$135,"S21",Diário!$N$6:$N$135,"Direito"))/(SUMIFS(Diário!$F$6:$F$135,Diário!$C$6:$C$135,"S21",Diário!$M$6:$M$135,"Direito")+SUMIFS(Diário!$J$6:$J$135,Diário!$C$6:$C$135,"S21",Diário!$N$6:$N$135,"Direito")))</f>
        <v/>
      </c>
      <c r="K27" s="6" t="str">
        <f aca="true">IF(D27=0,IF(TODAY()&gt;DATE(2027,3,28),"🔴 Semana sem registro",""),IF(E27&lt;0.5,"🔴 Fale com a mentora",IF(IF(E27&lt;0.8,"fez poucos blocos; ","")&amp;IF(AND(ISNUMBER(H27),H27&lt;0.6),"reforçar Medicina Legal; ","")&amp;IF(AND(ISNUMBER(I27),I27&lt;0.6),"reforçar Português; ","")&amp;IF(AND(ISNUMBER(J27),J27&lt;0.6),"reforçar Direito; ","")="","🟢 No ritmo","🟡 Atenção: "&amp;IF(E27&lt;0.8,"fez poucos blocos; ","")&amp;IF(AND(ISNUMBER(H27),H27&lt;0.6),"reforçar Medicina Legal; ","")&amp;IF(AND(ISNUMBER(I27),I27&lt;0.6),"reforçar Português; ","")&amp;IF(AND(ISNUMBER(J27),J27&lt;0.6),"reforçar Direito; ",""))))</f>
        <v/>
      </c>
    </row>
    <row r="28" customFormat="false" ht="15" hidden="false" customHeight="false" outlineLevel="0" collapsed="false">
      <c r="A28" s="16" t="s">
        <v>225</v>
      </c>
      <c r="B28" s="16" t="s">
        <v>281</v>
      </c>
      <c r="C28" s="16" t="n">
        <f aca="false">COUNTIFS(Diário!$C$6:$C$135,"S22",Diário!$M$6:$M$135,"&lt;&gt;Livre")+COUNTIFS(Diário!$C$6:$C$135,"S22",Diário!$N$6:$N$135,"&lt;&gt;Livre")</f>
        <v>10</v>
      </c>
      <c r="D28" s="16" t="n">
        <f aca="false">COUNTIFS(Diário!$C$6:$C$135,"S22",Diário!$E$6:$E$135,"✓")+COUNTIFS(Diário!$C$6:$C$135,"S22",Diário!$I$6:$I$135,"✓")</f>
        <v>0</v>
      </c>
      <c r="E28" s="27" t="str">
        <f aca="false">IF(D28=0,"",D28/C28)</f>
        <v/>
      </c>
      <c r="F28" s="16" t="n">
        <f aca="false">SUMIFS(Diário!$F$6:$F$135,Diário!$C$6:$C$135,"S22")+SUMIFS(Diário!$J$6:$J$135,Diário!$C$6:$C$135,"S22")</f>
        <v>0</v>
      </c>
      <c r="G28" s="16" t="n">
        <v>120</v>
      </c>
      <c r="H28" s="27" t="str">
        <f aca="false">IF((SUMIFS(Diário!$F$6:$F$135,Diário!$C$6:$C$135,"S22",Diário!$M$6:$M$135,"Medicina Legal")+SUMIFS(Diário!$J$6:$J$135,Diário!$C$6:$C$135,"S22",Diário!$N$6:$N$135,"Medicina Legal"))=0,"",(SUMIFS(Diário!$G$6:$G$135,Diário!$C$6:$C$135,"S22",Diário!$M$6:$M$135,"Medicina Legal")+SUMIFS(Diário!$K$6:$K$135,Diário!$C$6:$C$135,"S22",Diário!$N$6:$N$135,"Medicina Legal"))/(SUMIFS(Diário!$F$6:$F$135,Diário!$C$6:$C$135,"S22",Diário!$M$6:$M$135,"Medicina Legal")+SUMIFS(Diário!$J$6:$J$135,Diário!$C$6:$C$135,"S22",Diário!$N$6:$N$135,"Medicina Legal")))</f>
        <v/>
      </c>
      <c r="I28" s="27" t="str">
        <f aca="false">IF((SUMIFS(Diário!$F$6:$F$135,Diário!$C$6:$C$135,"S22",Diário!$M$6:$M$135,"Português")+SUMIFS(Diário!$J$6:$J$135,Diário!$C$6:$C$135,"S22",Diário!$N$6:$N$135,"Português"))=0,"",(SUMIFS(Diário!$G$6:$G$135,Diário!$C$6:$C$135,"S22",Diário!$M$6:$M$135,"Português")+SUMIFS(Diário!$K$6:$K$135,Diário!$C$6:$C$135,"S22",Diário!$N$6:$N$135,"Português"))/(SUMIFS(Diário!$F$6:$F$135,Diário!$C$6:$C$135,"S22",Diário!$M$6:$M$135,"Português")+SUMIFS(Diário!$J$6:$J$135,Diário!$C$6:$C$135,"S22",Diário!$N$6:$N$135,"Português")))</f>
        <v/>
      </c>
      <c r="J28" s="27" t="str">
        <f aca="false">IF((SUMIFS(Diário!$F$6:$F$135,Diário!$C$6:$C$135,"S22",Diário!$M$6:$M$135,"Direito")+SUMIFS(Diário!$J$6:$J$135,Diário!$C$6:$C$135,"S22",Diário!$N$6:$N$135,"Direito"))=0,"",(SUMIFS(Diário!$G$6:$G$135,Diário!$C$6:$C$135,"S22",Diário!$M$6:$M$135,"Direito")+SUMIFS(Diário!$K$6:$K$135,Diário!$C$6:$C$135,"S22",Diário!$N$6:$N$135,"Direito"))/(SUMIFS(Diário!$F$6:$F$135,Diário!$C$6:$C$135,"S22",Diário!$M$6:$M$135,"Direito")+SUMIFS(Diário!$J$6:$J$135,Diário!$C$6:$C$135,"S22",Diário!$N$6:$N$135,"Direito")))</f>
        <v/>
      </c>
      <c r="K28" s="6" t="str">
        <f aca="true">IF(D28=0,IF(TODAY()&gt;DATE(2027,4,4),"🔴 Semana sem registro",""),IF(E28&lt;0.5,"🔴 Fale com a mentora",IF(IF(E28&lt;0.8,"fez poucos blocos; ","")&amp;IF(AND(ISNUMBER(H28),H28&lt;0.6),"reforçar Medicina Legal; ","")&amp;IF(AND(ISNUMBER(I28),I28&lt;0.6),"reforçar Português; ","")&amp;IF(AND(ISNUMBER(J28),J28&lt;0.6),"reforçar Direito; ","")="","🟢 No ritmo","🟡 Atenção: "&amp;IF(E28&lt;0.8,"fez poucos blocos; ","")&amp;IF(AND(ISNUMBER(H28),H28&lt;0.6),"reforçar Medicina Legal; ","")&amp;IF(AND(ISNUMBER(I28),I28&lt;0.6),"reforçar Português; ","")&amp;IF(AND(ISNUMBER(J28),J28&lt;0.6),"reforçar Direito; ",""))))</f>
        <v/>
      </c>
    </row>
    <row r="29" customFormat="false" ht="15" hidden="false" customHeight="false" outlineLevel="0" collapsed="false">
      <c r="A29" s="16" t="s">
        <v>230</v>
      </c>
      <c r="B29" s="16" t="s">
        <v>282</v>
      </c>
      <c r="C29" s="16" t="n">
        <f aca="false">COUNTIFS(Diário!$C$6:$C$135,"S23",Diário!$M$6:$M$135,"&lt;&gt;Livre")+COUNTIFS(Diário!$C$6:$C$135,"S23",Diário!$N$6:$N$135,"&lt;&gt;Livre")</f>
        <v>10</v>
      </c>
      <c r="D29" s="16" t="n">
        <f aca="false">COUNTIFS(Diário!$C$6:$C$135,"S23",Diário!$E$6:$E$135,"✓")+COUNTIFS(Diário!$C$6:$C$135,"S23",Diário!$I$6:$I$135,"✓")</f>
        <v>0</v>
      </c>
      <c r="E29" s="27" t="str">
        <f aca="false">IF(D29=0,"",D29/C29)</f>
        <v/>
      </c>
      <c r="F29" s="16" t="n">
        <f aca="false">SUMIFS(Diário!$F$6:$F$135,Diário!$C$6:$C$135,"S23")+SUMIFS(Diário!$J$6:$J$135,Diário!$C$6:$C$135,"S23")</f>
        <v>0</v>
      </c>
      <c r="G29" s="16" t="n">
        <v>120</v>
      </c>
      <c r="H29" s="27" t="str">
        <f aca="false">IF((SUMIFS(Diário!$F$6:$F$135,Diário!$C$6:$C$135,"S23",Diário!$M$6:$M$135,"Medicina Legal")+SUMIFS(Diário!$J$6:$J$135,Diário!$C$6:$C$135,"S23",Diário!$N$6:$N$135,"Medicina Legal"))=0,"",(SUMIFS(Diário!$G$6:$G$135,Diário!$C$6:$C$135,"S23",Diário!$M$6:$M$135,"Medicina Legal")+SUMIFS(Diário!$K$6:$K$135,Diário!$C$6:$C$135,"S23",Diário!$N$6:$N$135,"Medicina Legal"))/(SUMIFS(Diário!$F$6:$F$135,Diário!$C$6:$C$135,"S23",Diário!$M$6:$M$135,"Medicina Legal")+SUMIFS(Diário!$J$6:$J$135,Diário!$C$6:$C$135,"S23",Diário!$N$6:$N$135,"Medicina Legal")))</f>
        <v/>
      </c>
      <c r="I29" s="27" t="str">
        <f aca="false">IF((SUMIFS(Diário!$F$6:$F$135,Diário!$C$6:$C$135,"S23",Diário!$M$6:$M$135,"Português")+SUMIFS(Diário!$J$6:$J$135,Diário!$C$6:$C$135,"S23",Diário!$N$6:$N$135,"Português"))=0,"",(SUMIFS(Diário!$G$6:$G$135,Diário!$C$6:$C$135,"S23",Diário!$M$6:$M$135,"Português")+SUMIFS(Diário!$K$6:$K$135,Diário!$C$6:$C$135,"S23",Diário!$N$6:$N$135,"Português"))/(SUMIFS(Diário!$F$6:$F$135,Diário!$C$6:$C$135,"S23",Diário!$M$6:$M$135,"Português")+SUMIFS(Diário!$J$6:$J$135,Diário!$C$6:$C$135,"S23",Diário!$N$6:$N$135,"Português")))</f>
        <v/>
      </c>
      <c r="J29" s="27" t="str">
        <f aca="false">IF((SUMIFS(Diário!$F$6:$F$135,Diário!$C$6:$C$135,"S23",Diário!$M$6:$M$135,"Direito")+SUMIFS(Diário!$J$6:$J$135,Diário!$C$6:$C$135,"S23",Diário!$N$6:$N$135,"Direito"))=0,"",(SUMIFS(Diário!$G$6:$G$135,Diário!$C$6:$C$135,"S23",Diário!$M$6:$M$135,"Direito")+SUMIFS(Diário!$K$6:$K$135,Diário!$C$6:$C$135,"S23",Diário!$N$6:$N$135,"Direito"))/(SUMIFS(Diário!$F$6:$F$135,Diário!$C$6:$C$135,"S23",Diário!$M$6:$M$135,"Direito")+SUMIFS(Diário!$J$6:$J$135,Diário!$C$6:$C$135,"S23",Diário!$N$6:$N$135,"Direito")))</f>
        <v/>
      </c>
      <c r="K29" s="6" t="str">
        <f aca="true">IF(D29=0,IF(TODAY()&gt;DATE(2027,4,11),"🔴 Semana sem registro",""),IF(E29&lt;0.5,"🔴 Fale com a mentora",IF(IF(E29&lt;0.8,"fez poucos blocos; ","")&amp;IF(AND(ISNUMBER(H29),H29&lt;0.6),"reforçar Medicina Legal; ","")&amp;IF(AND(ISNUMBER(I29),I29&lt;0.6),"reforçar Português; ","")&amp;IF(AND(ISNUMBER(J29),J29&lt;0.6),"reforçar Direito; ","")="","🟢 No ritmo","🟡 Atenção: "&amp;IF(E29&lt;0.8,"fez poucos blocos; ","")&amp;IF(AND(ISNUMBER(H29),H29&lt;0.6),"reforçar Medicina Legal; ","")&amp;IF(AND(ISNUMBER(I29),I29&lt;0.6),"reforçar Português; ","")&amp;IF(AND(ISNUMBER(J29),J29&lt;0.6),"reforçar Direito; ",""))))</f>
        <v/>
      </c>
    </row>
    <row r="30" customFormat="false" ht="15" hidden="false" customHeight="false" outlineLevel="0" collapsed="false">
      <c r="A30" s="16" t="s">
        <v>234</v>
      </c>
      <c r="B30" s="16" t="s">
        <v>283</v>
      </c>
      <c r="C30" s="16" t="n">
        <f aca="false">COUNTIFS(Diário!$C$6:$C$135,"S24",Diário!$M$6:$M$135,"&lt;&gt;Livre")+COUNTIFS(Diário!$C$6:$C$135,"S24",Diário!$N$6:$N$135,"&lt;&gt;Livre")</f>
        <v>10</v>
      </c>
      <c r="D30" s="16" t="n">
        <f aca="false">COUNTIFS(Diário!$C$6:$C$135,"S24",Diário!$E$6:$E$135,"✓")+COUNTIFS(Diário!$C$6:$C$135,"S24",Diário!$I$6:$I$135,"✓")</f>
        <v>0</v>
      </c>
      <c r="E30" s="27" t="str">
        <f aca="false">IF(D30=0,"",D30/C30)</f>
        <v/>
      </c>
      <c r="F30" s="16" t="n">
        <f aca="false">SUMIFS(Diário!$F$6:$F$135,Diário!$C$6:$C$135,"S24")+SUMIFS(Diário!$J$6:$J$135,Diário!$C$6:$C$135,"S24")</f>
        <v>0</v>
      </c>
      <c r="G30" s="16" t="n">
        <v>120</v>
      </c>
      <c r="H30" s="27" t="str">
        <f aca="false">IF((SUMIFS(Diário!$F$6:$F$135,Diário!$C$6:$C$135,"S24",Diário!$M$6:$M$135,"Medicina Legal")+SUMIFS(Diário!$J$6:$J$135,Diário!$C$6:$C$135,"S24",Diário!$N$6:$N$135,"Medicina Legal"))=0,"",(SUMIFS(Diário!$G$6:$G$135,Diário!$C$6:$C$135,"S24",Diário!$M$6:$M$135,"Medicina Legal")+SUMIFS(Diário!$K$6:$K$135,Diário!$C$6:$C$135,"S24",Diário!$N$6:$N$135,"Medicina Legal"))/(SUMIFS(Diário!$F$6:$F$135,Diário!$C$6:$C$135,"S24",Diário!$M$6:$M$135,"Medicina Legal")+SUMIFS(Diário!$J$6:$J$135,Diário!$C$6:$C$135,"S24",Diário!$N$6:$N$135,"Medicina Legal")))</f>
        <v/>
      </c>
      <c r="I30" s="27" t="str">
        <f aca="false">IF((SUMIFS(Diário!$F$6:$F$135,Diário!$C$6:$C$135,"S24",Diário!$M$6:$M$135,"Português")+SUMIFS(Diário!$J$6:$J$135,Diário!$C$6:$C$135,"S24",Diário!$N$6:$N$135,"Português"))=0,"",(SUMIFS(Diário!$G$6:$G$135,Diário!$C$6:$C$135,"S24",Diário!$M$6:$M$135,"Português")+SUMIFS(Diário!$K$6:$K$135,Diário!$C$6:$C$135,"S24",Diário!$N$6:$N$135,"Português"))/(SUMIFS(Diário!$F$6:$F$135,Diário!$C$6:$C$135,"S24",Diário!$M$6:$M$135,"Português")+SUMIFS(Diário!$J$6:$J$135,Diário!$C$6:$C$135,"S24",Diário!$N$6:$N$135,"Português")))</f>
        <v/>
      </c>
      <c r="J30" s="27" t="str">
        <f aca="false">IF((SUMIFS(Diário!$F$6:$F$135,Diário!$C$6:$C$135,"S24",Diário!$M$6:$M$135,"Direito")+SUMIFS(Diário!$J$6:$J$135,Diário!$C$6:$C$135,"S24",Diário!$N$6:$N$135,"Direito"))=0,"",(SUMIFS(Diário!$G$6:$G$135,Diário!$C$6:$C$135,"S24",Diário!$M$6:$M$135,"Direito")+SUMIFS(Diário!$K$6:$K$135,Diário!$C$6:$C$135,"S24",Diário!$N$6:$N$135,"Direito"))/(SUMIFS(Diário!$F$6:$F$135,Diário!$C$6:$C$135,"S24",Diário!$M$6:$M$135,"Direito")+SUMIFS(Diário!$J$6:$J$135,Diário!$C$6:$C$135,"S24",Diário!$N$6:$N$135,"Direito")))</f>
        <v/>
      </c>
      <c r="K30" s="6" t="str">
        <f aca="true">IF(D30=0,IF(TODAY()&gt;DATE(2027,4,18),"🔴 Semana sem registro",""),IF(E30&lt;0.5,"🔴 Fale com a mentora",IF(IF(E30&lt;0.8,"fez poucos blocos; ","")&amp;IF(AND(ISNUMBER(H30),H30&lt;0.6),"reforçar Medicina Legal; ","")&amp;IF(AND(ISNUMBER(I30),I30&lt;0.6),"reforçar Português; ","")&amp;IF(AND(ISNUMBER(J30),J30&lt;0.6),"reforçar Direito; ","")="","🟢 No ritmo","🟡 Atenção: "&amp;IF(E30&lt;0.8,"fez poucos blocos; ","")&amp;IF(AND(ISNUMBER(H30),H30&lt;0.6),"reforçar Medicina Legal; ","")&amp;IF(AND(ISNUMBER(I30),I30&lt;0.6),"reforçar Português; ","")&amp;IF(AND(ISNUMBER(J30),J30&lt;0.6),"reforçar Direito; ",""))))</f>
        <v/>
      </c>
    </row>
    <row r="31" customFormat="false" ht="15" hidden="false" customHeight="false" outlineLevel="0" collapsed="false">
      <c r="A31" s="16" t="s">
        <v>238</v>
      </c>
      <c r="B31" s="16" t="s">
        <v>284</v>
      </c>
      <c r="C31" s="16" t="n">
        <f aca="false">COUNTIFS(Diário!$C$6:$C$135,"S25",Diário!$M$6:$M$135,"&lt;&gt;Livre")+COUNTIFS(Diário!$C$6:$C$135,"S25",Diário!$N$6:$N$135,"&lt;&gt;Livre")</f>
        <v>10</v>
      </c>
      <c r="D31" s="16" t="n">
        <f aca="false">COUNTIFS(Diário!$C$6:$C$135,"S25",Diário!$E$6:$E$135,"✓")+COUNTIFS(Diário!$C$6:$C$135,"S25",Diário!$I$6:$I$135,"✓")</f>
        <v>0</v>
      </c>
      <c r="E31" s="27" t="str">
        <f aca="false">IF(D31=0,"",D31/C31)</f>
        <v/>
      </c>
      <c r="F31" s="16" t="n">
        <f aca="false">SUMIFS(Diário!$F$6:$F$135,Diário!$C$6:$C$135,"S25")+SUMIFS(Diário!$J$6:$J$135,Diário!$C$6:$C$135,"S25")</f>
        <v>0</v>
      </c>
      <c r="G31" s="16" t="n">
        <v>120</v>
      </c>
      <c r="H31" s="27" t="str">
        <f aca="false">IF((SUMIFS(Diário!$F$6:$F$135,Diário!$C$6:$C$135,"S25",Diário!$M$6:$M$135,"Medicina Legal")+SUMIFS(Diário!$J$6:$J$135,Diário!$C$6:$C$135,"S25",Diário!$N$6:$N$135,"Medicina Legal"))=0,"",(SUMIFS(Diário!$G$6:$G$135,Diário!$C$6:$C$135,"S25",Diário!$M$6:$M$135,"Medicina Legal")+SUMIFS(Diário!$K$6:$K$135,Diário!$C$6:$C$135,"S25",Diário!$N$6:$N$135,"Medicina Legal"))/(SUMIFS(Diário!$F$6:$F$135,Diário!$C$6:$C$135,"S25",Diário!$M$6:$M$135,"Medicina Legal")+SUMIFS(Diário!$J$6:$J$135,Diário!$C$6:$C$135,"S25",Diário!$N$6:$N$135,"Medicina Legal")))</f>
        <v/>
      </c>
      <c r="I31" s="27" t="str">
        <f aca="false">IF((SUMIFS(Diário!$F$6:$F$135,Diário!$C$6:$C$135,"S25",Diário!$M$6:$M$135,"Português")+SUMIFS(Diário!$J$6:$J$135,Diário!$C$6:$C$135,"S25",Diário!$N$6:$N$135,"Português"))=0,"",(SUMIFS(Diário!$G$6:$G$135,Diário!$C$6:$C$135,"S25",Diário!$M$6:$M$135,"Português")+SUMIFS(Diário!$K$6:$K$135,Diário!$C$6:$C$135,"S25",Diário!$N$6:$N$135,"Português"))/(SUMIFS(Diário!$F$6:$F$135,Diário!$C$6:$C$135,"S25",Diário!$M$6:$M$135,"Português")+SUMIFS(Diário!$J$6:$J$135,Diário!$C$6:$C$135,"S25",Diário!$N$6:$N$135,"Português")))</f>
        <v/>
      </c>
      <c r="J31" s="27" t="str">
        <f aca="false">IF((SUMIFS(Diário!$F$6:$F$135,Diário!$C$6:$C$135,"S25",Diário!$M$6:$M$135,"Direito")+SUMIFS(Diário!$J$6:$J$135,Diário!$C$6:$C$135,"S25",Diário!$N$6:$N$135,"Direito"))=0,"",(SUMIFS(Diário!$G$6:$G$135,Diário!$C$6:$C$135,"S25",Diário!$M$6:$M$135,"Direito")+SUMIFS(Diário!$K$6:$K$135,Diário!$C$6:$C$135,"S25",Diário!$N$6:$N$135,"Direito"))/(SUMIFS(Diário!$F$6:$F$135,Diário!$C$6:$C$135,"S25",Diário!$M$6:$M$135,"Direito")+SUMIFS(Diário!$J$6:$J$135,Diário!$C$6:$C$135,"S25",Diário!$N$6:$N$135,"Direito")))</f>
        <v/>
      </c>
      <c r="K31" s="6" t="str">
        <f aca="true">IF(D31=0,IF(TODAY()&gt;DATE(2027,4,25),"🔴 Semana sem registro",""),IF(E31&lt;0.5,"🔴 Fale com a mentora",IF(IF(E31&lt;0.8,"fez poucos blocos; ","")&amp;IF(AND(ISNUMBER(H31),H31&lt;0.6),"reforçar Medicina Legal; ","")&amp;IF(AND(ISNUMBER(I31),I31&lt;0.6),"reforçar Português; ","")&amp;IF(AND(ISNUMBER(J31),J31&lt;0.6),"reforçar Direito; ","")="","🟢 No ritmo","🟡 Atenção: "&amp;IF(E31&lt;0.8,"fez poucos blocos; ","")&amp;IF(AND(ISNUMBER(H31),H31&lt;0.6),"reforçar Medicina Legal; ","")&amp;IF(AND(ISNUMBER(I31),I31&lt;0.6),"reforçar Português; ","")&amp;IF(AND(ISNUMBER(J31),J31&lt;0.6),"reforçar Direito; ",""))))</f>
        <v/>
      </c>
    </row>
    <row r="32" customFormat="false" ht="15" hidden="false" customHeight="false" outlineLevel="0" collapsed="false">
      <c r="A32" s="16" t="s">
        <v>242</v>
      </c>
      <c r="B32" s="16" t="s">
        <v>285</v>
      </c>
      <c r="C32" s="16" t="n">
        <f aca="false">COUNTIFS(Diário!$C$6:$C$135,"S26",Diário!$M$6:$M$135,"&lt;&gt;Livre")+COUNTIFS(Diário!$C$6:$C$135,"S26",Diário!$N$6:$N$135,"&lt;&gt;Livre")</f>
        <v>5</v>
      </c>
      <c r="D32" s="16" t="n">
        <f aca="false">COUNTIFS(Diário!$C$6:$C$135,"S26",Diário!$E$6:$E$135,"✓")+COUNTIFS(Diário!$C$6:$C$135,"S26",Diário!$I$6:$I$135,"✓")</f>
        <v>0</v>
      </c>
      <c r="E32" s="27" t="str">
        <f aca="false">IF(D32=0,"",D32/C32)</f>
        <v/>
      </c>
      <c r="F32" s="16" t="n">
        <f aca="false">SUMIFS(Diário!$F$6:$F$135,Diário!$C$6:$C$135,"S26")+SUMIFS(Diário!$J$6:$J$135,Diário!$C$6:$C$135,"S26")</f>
        <v>0</v>
      </c>
      <c r="G32" s="16" t="n">
        <v>40</v>
      </c>
      <c r="H32" s="27" t="str">
        <f aca="false">IF((SUMIFS(Diário!$F$6:$F$135,Diário!$C$6:$C$135,"S26",Diário!$M$6:$M$135,"Medicina Legal")+SUMIFS(Diário!$J$6:$J$135,Diário!$C$6:$C$135,"S26",Diário!$N$6:$N$135,"Medicina Legal"))=0,"",(SUMIFS(Diário!$G$6:$G$135,Diário!$C$6:$C$135,"S26",Diário!$M$6:$M$135,"Medicina Legal")+SUMIFS(Diário!$K$6:$K$135,Diário!$C$6:$C$135,"S26",Diário!$N$6:$N$135,"Medicina Legal"))/(SUMIFS(Diário!$F$6:$F$135,Diário!$C$6:$C$135,"S26",Diário!$M$6:$M$135,"Medicina Legal")+SUMIFS(Diário!$J$6:$J$135,Diário!$C$6:$C$135,"S26",Diário!$N$6:$N$135,"Medicina Legal")))</f>
        <v/>
      </c>
      <c r="I32" s="27" t="str">
        <f aca="false">IF((SUMIFS(Diário!$F$6:$F$135,Diário!$C$6:$C$135,"S26",Diário!$M$6:$M$135,"Português")+SUMIFS(Diário!$J$6:$J$135,Diário!$C$6:$C$135,"S26",Diário!$N$6:$N$135,"Português"))=0,"",(SUMIFS(Diário!$G$6:$G$135,Diário!$C$6:$C$135,"S26",Diário!$M$6:$M$135,"Português")+SUMIFS(Diário!$K$6:$K$135,Diário!$C$6:$C$135,"S26",Diário!$N$6:$N$135,"Português"))/(SUMIFS(Diário!$F$6:$F$135,Diário!$C$6:$C$135,"S26",Diário!$M$6:$M$135,"Português")+SUMIFS(Diário!$J$6:$J$135,Diário!$C$6:$C$135,"S26",Diário!$N$6:$N$135,"Português")))</f>
        <v/>
      </c>
      <c r="J32" s="27" t="str">
        <f aca="false">IF((SUMIFS(Diário!$F$6:$F$135,Diário!$C$6:$C$135,"S26",Diário!$M$6:$M$135,"Direito")+SUMIFS(Diário!$J$6:$J$135,Diário!$C$6:$C$135,"S26",Diário!$N$6:$N$135,"Direito"))=0,"",(SUMIFS(Diário!$G$6:$G$135,Diário!$C$6:$C$135,"S26",Diário!$M$6:$M$135,"Direito")+SUMIFS(Diário!$K$6:$K$135,Diário!$C$6:$C$135,"S26",Diário!$N$6:$N$135,"Direito"))/(SUMIFS(Diário!$F$6:$F$135,Diário!$C$6:$C$135,"S26",Diário!$M$6:$M$135,"Direito")+SUMIFS(Diário!$J$6:$J$135,Diário!$C$6:$C$135,"S26",Diário!$N$6:$N$135,"Direito")))</f>
        <v/>
      </c>
      <c r="K32" s="6" t="str">
        <f aca="true">IF(D32=0,IF(TODAY()&gt;DATE(2027,5,2),"🔴 Semana sem registro",""),IF(E32&lt;0.5,"🔴 Fale com a mentora",IF(IF(E32&lt;0.8,"fez poucos blocos; ","")&amp;IF(AND(ISNUMBER(H32),H32&lt;0.6),"reforçar Medicina Legal; ","")&amp;IF(AND(ISNUMBER(I32),I32&lt;0.6),"reforçar Português; ","")&amp;IF(AND(ISNUMBER(J32),J32&lt;0.6),"reforçar Direito; ","")="","🟢 No ritmo","🟡 Atenção: "&amp;IF(E32&lt;0.8,"fez poucos blocos; ","")&amp;IF(AND(ISNUMBER(H32),H32&lt;0.6),"reforçar Medicina Legal; ","")&amp;IF(AND(ISNUMBER(I32),I32&lt;0.6),"reforçar Português; ","")&amp;IF(AND(ISNUMBER(J32),J32&lt;0.6),"reforçar Direito; ",""))))</f>
        <v/>
      </c>
    </row>
  </sheetData>
  <mergeCells count="10">
    <mergeCell ref="A3:B3"/>
    <mergeCell ref="C3:D3"/>
    <mergeCell ref="E3:F3"/>
    <mergeCell ref="G3:H3"/>
    <mergeCell ref="I3:J3"/>
    <mergeCell ref="A4:B4"/>
    <mergeCell ref="C4:D4"/>
    <mergeCell ref="E4:F4"/>
    <mergeCell ref="G4:H4"/>
    <mergeCell ref="I4:J4"/>
  </mergeCells>
  <conditionalFormatting sqref="K7:K32">
    <cfRule type="expression" priority="2" aboveAverage="0" equalAverage="0" bottom="0" percent="0" rank="0" text="" dxfId="1">
      <formula>LEFT(K7,1)="🟢"</formula>
    </cfRule>
    <cfRule type="expression" priority="3" aboveAverage="0" equalAverage="0" bottom="0" percent="0" rank="0" text="" dxfId="2">
      <formula>LEFT(K7,1)="🟡"</formula>
    </cfRule>
    <cfRule type="expression" priority="4" aboveAverage="0" equalAverage="0" bottom="0" percent="0" rank="0" text="" dxfId="3">
      <formula>LEFT(K7,1)="🔴"</formula>
    </cfRule>
  </conditionalFormatting>
  <conditionalFormatting sqref="H7:J32">
    <cfRule type="expression" priority="5" aboveAverage="0" equalAverage="0" bottom="0" percent="0" rank="0" text="" dxfId="4">
      <formula>AND(ISNUMBER(H7),H7&lt;0.6)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80ED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38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11"/>
  </cols>
  <sheetData>
    <row r="1" customFormat="false" ht="27.75" hidden="false" customHeight="true" outlineLevel="0" collapsed="false">
      <c r="A1" s="1" t="s">
        <v>286</v>
      </c>
    </row>
    <row r="2" customFormat="false" ht="15" hidden="false" customHeight="false" outlineLevel="0" collapsed="false">
      <c r="A2" s="2" t="s">
        <v>287</v>
      </c>
    </row>
    <row r="5" customFormat="false" ht="30" hidden="false" customHeight="true" outlineLevel="0" collapsed="false">
      <c r="A5" s="14" t="s">
        <v>32</v>
      </c>
      <c r="B5" s="14" t="s">
        <v>252</v>
      </c>
      <c r="C5" s="14" t="s">
        <v>288</v>
      </c>
      <c r="D5" s="14" t="s">
        <v>289</v>
      </c>
      <c r="E5" s="14" t="s">
        <v>290</v>
      </c>
      <c r="F5" s="14" t="s">
        <v>255</v>
      </c>
      <c r="G5" s="14" t="s">
        <v>291</v>
      </c>
      <c r="H5" s="14" t="s">
        <v>292</v>
      </c>
      <c r="I5" s="14" t="s">
        <v>293</v>
      </c>
    </row>
    <row r="6" customFormat="false" ht="30" hidden="false" customHeight="true" outlineLevel="0" collapsed="false">
      <c r="A6" s="16" t="s">
        <v>42</v>
      </c>
      <c r="B6" s="16" t="s">
        <v>260</v>
      </c>
      <c r="C6" s="6" t="s">
        <v>294</v>
      </c>
      <c r="D6" s="6" t="s">
        <v>295</v>
      </c>
      <c r="E6" s="6" t="s">
        <v>296</v>
      </c>
      <c r="F6" s="16" t="n">
        <v>50</v>
      </c>
      <c r="G6" s="16" t="s">
        <v>297</v>
      </c>
      <c r="H6" s="6"/>
      <c r="I6" s="17"/>
    </row>
    <row r="7" customFormat="false" ht="30" hidden="false" customHeight="true" outlineLevel="0" collapsed="false">
      <c r="A7" s="16" t="s">
        <v>61</v>
      </c>
      <c r="B7" s="16" t="s">
        <v>261</v>
      </c>
      <c r="C7" s="6" t="s">
        <v>298</v>
      </c>
      <c r="D7" s="6" t="s">
        <v>299</v>
      </c>
      <c r="E7" s="6" t="s">
        <v>300</v>
      </c>
      <c r="F7" s="16" t="n">
        <v>50</v>
      </c>
      <c r="G7" s="16" t="s">
        <v>297</v>
      </c>
      <c r="H7" s="6"/>
      <c r="I7" s="17"/>
    </row>
    <row r="8" customFormat="false" ht="30" hidden="false" customHeight="true" outlineLevel="0" collapsed="false">
      <c r="A8" s="16" t="s">
        <v>70</v>
      </c>
      <c r="B8" s="16" t="s">
        <v>262</v>
      </c>
      <c r="C8" s="6" t="s">
        <v>301</v>
      </c>
      <c r="D8" s="6" t="s">
        <v>302</v>
      </c>
      <c r="E8" s="6" t="s">
        <v>303</v>
      </c>
      <c r="F8" s="16" t="n">
        <v>50</v>
      </c>
      <c r="G8" s="16" t="s">
        <v>297</v>
      </c>
      <c r="H8" s="6"/>
      <c r="I8" s="17"/>
    </row>
    <row r="9" customFormat="false" ht="30" hidden="false" customHeight="true" outlineLevel="0" collapsed="false">
      <c r="A9" s="16" t="s">
        <v>79</v>
      </c>
      <c r="B9" s="16" t="s">
        <v>263</v>
      </c>
      <c r="C9" s="6" t="s">
        <v>304</v>
      </c>
      <c r="D9" s="6" t="s">
        <v>305</v>
      </c>
      <c r="E9" s="6" t="s">
        <v>306</v>
      </c>
      <c r="F9" s="16" t="n">
        <v>50</v>
      </c>
      <c r="G9" s="16" t="s">
        <v>297</v>
      </c>
      <c r="H9" s="6"/>
      <c r="I9" s="17"/>
    </row>
    <row r="10" customFormat="false" ht="30" hidden="false" customHeight="true" outlineLevel="0" collapsed="false">
      <c r="A10" s="16" t="s">
        <v>88</v>
      </c>
      <c r="B10" s="16" t="s">
        <v>264</v>
      </c>
      <c r="C10" s="6" t="s">
        <v>307</v>
      </c>
      <c r="D10" s="6" t="s">
        <v>308</v>
      </c>
      <c r="E10" s="6" t="s">
        <v>309</v>
      </c>
      <c r="F10" s="16" t="n">
        <v>50</v>
      </c>
      <c r="G10" s="16" t="s">
        <v>42</v>
      </c>
      <c r="H10" s="6"/>
      <c r="I10" s="17"/>
    </row>
    <row r="11" customFormat="false" ht="30" hidden="false" customHeight="true" outlineLevel="0" collapsed="false">
      <c r="A11" s="16" t="s">
        <v>97</v>
      </c>
      <c r="B11" s="16" t="s">
        <v>265</v>
      </c>
      <c r="C11" s="6" t="s">
        <v>310</v>
      </c>
      <c r="D11" s="6" t="s">
        <v>311</v>
      </c>
      <c r="E11" s="6" t="s">
        <v>312</v>
      </c>
      <c r="F11" s="16" t="n">
        <v>50</v>
      </c>
      <c r="G11" s="16" t="s">
        <v>61</v>
      </c>
      <c r="H11" s="6"/>
      <c r="I11" s="17"/>
    </row>
    <row r="12" customFormat="false" ht="30" hidden="false" customHeight="true" outlineLevel="0" collapsed="false">
      <c r="A12" s="16" t="s">
        <v>106</v>
      </c>
      <c r="B12" s="16" t="s">
        <v>266</v>
      </c>
      <c r="C12" s="6" t="s">
        <v>313</v>
      </c>
      <c r="D12" s="6" t="s">
        <v>314</v>
      </c>
      <c r="E12" s="6" t="s">
        <v>315</v>
      </c>
      <c r="F12" s="16" t="n">
        <v>50</v>
      </c>
      <c r="G12" s="16" t="s">
        <v>70</v>
      </c>
      <c r="H12" s="6"/>
      <c r="I12" s="17"/>
    </row>
    <row r="13" customFormat="false" ht="30" hidden="false" customHeight="true" outlineLevel="0" collapsed="false">
      <c r="A13" s="28" t="s">
        <v>115</v>
      </c>
      <c r="B13" s="28" t="s">
        <v>267</v>
      </c>
      <c r="C13" s="29" t="s">
        <v>316</v>
      </c>
      <c r="D13" s="29"/>
      <c r="E13" s="29"/>
      <c r="F13" s="28" t="n">
        <v>30</v>
      </c>
      <c r="G13" s="28" t="s">
        <v>297</v>
      </c>
      <c r="H13" s="29" t="s">
        <v>317</v>
      </c>
      <c r="I13" s="17"/>
    </row>
    <row r="14" customFormat="false" ht="30" hidden="false" customHeight="true" outlineLevel="0" collapsed="false">
      <c r="A14" s="16" t="s">
        <v>119</v>
      </c>
      <c r="B14" s="16" t="s">
        <v>268</v>
      </c>
      <c r="C14" s="6" t="s">
        <v>318</v>
      </c>
      <c r="D14" s="6" t="s">
        <v>319</v>
      </c>
      <c r="E14" s="6" t="s">
        <v>320</v>
      </c>
      <c r="F14" s="16" t="n">
        <v>70</v>
      </c>
      <c r="G14" s="16" t="s">
        <v>88</v>
      </c>
      <c r="H14" s="6"/>
      <c r="I14" s="17"/>
    </row>
    <row r="15" customFormat="false" ht="30" hidden="false" customHeight="true" outlineLevel="0" collapsed="false">
      <c r="A15" s="16" t="s">
        <v>128</v>
      </c>
      <c r="B15" s="16" t="s">
        <v>269</v>
      </c>
      <c r="C15" s="6" t="s">
        <v>321</v>
      </c>
      <c r="D15" s="6" t="s">
        <v>322</v>
      </c>
      <c r="E15" s="6" t="s">
        <v>323</v>
      </c>
      <c r="F15" s="16" t="n">
        <v>70</v>
      </c>
      <c r="G15" s="16" t="s">
        <v>97</v>
      </c>
      <c r="H15" s="6"/>
      <c r="I15" s="17"/>
    </row>
    <row r="16" customFormat="false" ht="30" hidden="false" customHeight="true" outlineLevel="0" collapsed="false">
      <c r="A16" s="16" t="s">
        <v>137</v>
      </c>
      <c r="B16" s="16" t="s">
        <v>270</v>
      </c>
      <c r="C16" s="6" t="s">
        <v>324</v>
      </c>
      <c r="D16" s="6" t="s">
        <v>325</v>
      </c>
      <c r="E16" s="6" t="s">
        <v>326</v>
      </c>
      <c r="F16" s="16" t="n">
        <v>70</v>
      </c>
      <c r="G16" s="16" t="s">
        <v>106</v>
      </c>
      <c r="H16" s="6"/>
      <c r="I16" s="17"/>
    </row>
    <row r="17" customFormat="false" ht="30" hidden="false" customHeight="true" outlineLevel="0" collapsed="false">
      <c r="A17" s="16" t="s">
        <v>146</v>
      </c>
      <c r="B17" s="16" t="s">
        <v>271</v>
      </c>
      <c r="C17" s="6" t="s">
        <v>327</v>
      </c>
      <c r="D17" s="6" t="s">
        <v>328</v>
      </c>
      <c r="E17" s="6" t="s">
        <v>329</v>
      </c>
      <c r="F17" s="16" t="n">
        <v>70</v>
      </c>
      <c r="G17" s="16" t="s">
        <v>119</v>
      </c>
      <c r="H17" s="6"/>
      <c r="I17" s="17"/>
    </row>
    <row r="18" customFormat="false" ht="30" hidden="false" customHeight="true" outlineLevel="0" collapsed="false">
      <c r="A18" s="16" t="s">
        <v>155</v>
      </c>
      <c r="B18" s="16" t="s">
        <v>272</v>
      </c>
      <c r="C18" s="6" t="s">
        <v>330</v>
      </c>
      <c r="D18" s="6" t="s">
        <v>331</v>
      </c>
      <c r="E18" s="6" t="s">
        <v>332</v>
      </c>
      <c r="F18" s="16" t="n">
        <v>70</v>
      </c>
      <c r="G18" s="16" t="s">
        <v>128</v>
      </c>
      <c r="H18" s="6" t="s">
        <v>333</v>
      </c>
      <c r="I18" s="17"/>
    </row>
    <row r="19" customFormat="false" ht="30" hidden="false" customHeight="true" outlineLevel="0" collapsed="false">
      <c r="A19" s="16" t="s">
        <v>167</v>
      </c>
      <c r="B19" s="16" t="s">
        <v>273</v>
      </c>
      <c r="C19" s="6" t="s">
        <v>334</v>
      </c>
      <c r="D19" s="6" t="s">
        <v>335</v>
      </c>
      <c r="E19" s="6" t="s">
        <v>336</v>
      </c>
      <c r="F19" s="16" t="n">
        <v>70</v>
      </c>
      <c r="G19" s="16" t="s">
        <v>137</v>
      </c>
      <c r="H19" s="6"/>
      <c r="I19" s="17"/>
    </row>
    <row r="20" customFormat="false" ht="30" hidden="false" customHeight="true" outlineLevel="0" collapsed="false">
      <c r="A20" s="28" t="s">
        <v>176</v>
      </c>
      <c r="B20" s="28" t="s">
        <v>274</v>
      </c>
      <c r="C20" s="29" t="s">
        <v>316</v>
      </c>
      <c r="D20" s="29"/>
      <c r="E20" s="29"/>
      <c r="F20" s="28" t="n">
        <v>30</v>
      </c>
      <c r="G20" s="28" t="s">
        <v>297</v>
      </c>
      <c r="H20" s="29" t="s">
        <v>337</v>
      </c>
      <c r="I20" s="17"/>
    </row>
    <row r="21" customFormat="false" ht="30" hidden="false" customHeight="true" outlineLevel="0" collapsed="false">
      <c r="A21" s="16" t="s">
        <v>177</v>
      </c>
      <c r="B21" s="16" t="s">
        <v>275</v>
      </c>
      <c r="C21" s="6" t="s">
        <v>338</v>
      </c>
      <c r="D21" s="6" t="s">
        <v>339</v>
      </c>
      <c r="E21" s="6" t="s">
        <v>340</v>
      </c>
      <c r="F21" s="16" t="n">
        <v>70</v>
      </c>
      <c r="G21" s="16" t="s">
        <v>146</v>
      </c>
      <c r="H21" s="6"/>
      <c r="I21" s="17"/>
    </row>
    <row r="22" customFormat="false" ht="30" hidden="false" customHeight="true" outlineLevel="0" collapsed="false">
      <c r="A22" s="16" t="s">
        <v>186</v>
      </c>
      <c r="B22" s="16" t="s">
        <v>276</v>
      </c>
      <c r="C22" s="6" t="s">
        <v>341</v>
      </c>
      <c r="D22" s="6" t="s">
        <v>342</v>
      </c>
      <c r="E22" s="6" t="s">
        <v>343</v>
      </c>
      <c r="F22" s="16" t="n">
        <v>70</v>
      </c>
      <c r="G22" s="16" t="s">
        <v>155</v>
      </c>
      <c r="H22" s="6"/>
      <c r="I22" s="17"/>
    </row>
    <row r="23" customFormat="false" ht="30" hidden="false" customHeight="true" outlineLevel="0" collapsed="false">
      <c r="A23" s="16" t="s">
        <v>195</v>
      </c>
      <c r="B23" s="16" t="s">
        <v>277</v>
      </c>
      <c r="C23" s="6" t="s">
        <v>344</v>
      </c>
      <c r="D23" s="6" t="s">
        <v>345</v>
      </c>
      <c r="E23" s="6" t="s">
        <v>346</v>
      </c>
      <c r="F23" s="16" t="n">
        <v>70</v>
      </c>
      <c r="G23" s="16" t="s">
        <v>167</v>
      </c>
      <c r="H23" s="6"/>
      <c r="I23" s="17"/>
    </row>
    <row r="24" customFormat="false" ht="30" hidden="false" customHeight="true" outlineLevel="0" collapsed="false">
      <c r="A24" s="16" t="s">
        <v>204</v>
      </c>
      <c r="B24" s="16" t="s">
        <v>278</v>
      </c>
      <c r="C24" s="6" t="s">
        <v>347</v>
      </c>
      <c r="D24" s="6" t="s">
        <v>348</v>
      </c>
      <c r="E24" s="6" t="s">
        <v>349</v>
      </c>
      <c r="F24" s="16" t="n">
        <v>70</v>
      </c>
      <c r="G24" s="16" t="s">
        <v>177</v>
      </c>
      <c r="H24" s="6"/>
      <c r="I24" s="17"/>
    </row>
    <row r="25" customFormat="false" ht="30" hidden="false" customHeight="true" outlineLevel="0" collapsed="false">
      <c r="A25" s="16" t="s">
        <v>211</v>
      </c>
      <c r="B25" s="16" t="s">
        <v>279</v>
      </c>
      <c r="C25" s="6" t="s">
        <v>350</v>
      </c>
      <c r="D25" s="6" t="s">
        <v>351</v>
      </c>
      <c r="E25" s="6" t="s">
        <v>352</v>
      </c>
      <c r="F25" s="16" t="n">
        <v>70</v>
      </c>
      <c r="G25" s="16" t="s">
        <v>186</v>
      </c>
      <c r="H25" s="6"/>
      <c r="I25" s="17"/>
    </row>
    <row r="26" customFormat="false" ht="30" hidden="false" customHeight="true" outlineLevel="0" collapsed="false">
      <c r="A26" s="16" t="s">
        <v>218</v>
      </c>
      <c r="B26" s="16" t="s">
        <v>280</v>
      </c>
      <c r="C26" s="6" t="s">
        <v>353</v>
      </c>
      <c r="D26" s="6" t="s">
        <v>354</v>
      </c>
      <c r="E26" s="6" t="s">
        <v>355</v>
      </c>
      <c r="F26" s="16" t="n">
        <v>120</v>
      </c>
      <c r="G26" s="16" t="s">
        <v>195</v>
      </c>
      <c r="H26" s="6" t="s">
        <v>356</v>
      </c>
      <c r="I26" s="17"/>
    </row>
    <row r="27" customFormat="false" ht="30" hidden="false" customHeight="true" outlineLevel="0" collapsed="false">
      <c r="A27" s="16" t="s">
        <v>225</v>
      </c>
      <c r="B27" s="16" t="s">
        <v>281</v>
      </c>
      <c r="C27" s="6" t="s">
        <v>357</v>
      </c>
      <c r="D27" s="6" t="s">
        <v>358</v>
      </c>
      <c r="E27" s="6" t="s">
        <v>359</v>
      </c>
      <c r="F27" s="16" t="n">
        <v>120</v>
      </c>
      <c r="G27" s="16" t="s">
        <v>204</v>
      </c>
      <c r="H27" s="6"/>
      <c r="I27" s="17"/>
    </row>
    <row r="28" customFormat="false" ht="30" hidden="false" customHeight="true" outlineLevel="0" collapsed="false">
      <c r="A28" s="16" t="s">
        <v>230</v>
      </c>
      <c r="B28" s="16" t="s">
        <v>282</v>
      </c>
      <c r="C28" s="6" t="s">
        <v>360</v>
      </c>
      <c r="D28" s="6" t="s">
        <v>361</v>
      </c>
      <c r="E28" s="6" t="s">
        <v>362</v>
      </c>
      <c r="F28" s="16" t="n">
        <v>120</v>
      </c>
      <c r="G28" s="16" t="s">
        <v>211</v>
      </c>
      <c r="H28" s="6" t="s">
        <v>363</v>
      </c>
      <c r="I28" s="17"/>
    </row>
    <row r="29" customFormat="false" ht="30" hidden="false" customHeight="true" outlineLevel="0" collapsed="false">
      <c r="A29" s="16" t="s">
        <v>234</v>
      </c>
      <c r="B29" s="16" t="s">
        <v>283</v>
      </c>
      <c r="C29" s="6" t="s">
        <v>364</v>
      </c>
      <c r="D29" s="6" t="s">
        <v>365</v>
      </c>
      <c r="E29" s="6" t="s">
        <v>366</v>
      </c>
      <c r="F29" s="16" t="n">
        <v>120</v>
      </c>
      <c r="G29" s="16" t="s">
        <v>297</v>
      </c>
      <c r="H29" s="6"/>
      <c r="I29" s="17"/>
    </row>
    <row r="30" customFormat="false" ht="30" hidden="false" customHeight="true" outlineLevel="0" collapsed="false">
      <c r="A30" s="16" t="s">
        <v>238</v>
      </c>
      <c r="B30" s="16" t="s">
        <v>284</v>
      </c>
      <c r="C30" s="6" t="s">
        <v>367</v>
      </c>
      <c r="D30" s="6" t="s">
        <v>368</v>
      </c>
      <c r="E30" s="6" t="s">
        <v>369</v>
      </c>
      <c r="F30" s="16" t="n">
        <v>120</v>
      </c>
      <c r="G30" s="16" t="s">
        <v>297</v>
      </c>
      <c r="H30" s="6" t="s">
        <v>370</v>
      </c>
      <c r="I30" s="17"/>
    </row>
    <row r="31" customFormat="false" ht="30" hidden="false" customHeight="true" outlineLevel="0" collapsed="false">
      <c r="A31" s="16" t="s">
        <v>242</v>
      </c>
      <c r="B31" s="16" t="s">
        <v>285</v>
      </c>
      <c r="C31" s="6" t="s">
        <v>371</v>
      </c>
      <c r="D31" s="6"/>
      <c r="E31" s="6"/>
      <c r="F31" s="16" t="n">
        <v>40</v>
      </c>
      <c r="G31" s="16" t="s">
        <v>297</v>
      </c>
      <c r="H31" s="6" t="s">
        <v>372</v>
      </c>
      <c r="I31" s="17"/>
    </row>
  </sheetData>
  <mergeCells count="3">
    <mergeCell ref="C13:E13"/>
    <mergeCell ref="C20:E20"/>
    <mergeCell ref="C31:E31"/>
  </mergeCells>
  <conditionalFormatting sqref="I6:I31">
    <cfRule type="cellIs" priority="2" operator="equal" aboveAverage="0" equalAverage="0" bottom="0" percent="0" rank="0" text="" dxfId="1">
      <formula>"✓"</formula>
    </cfRule>
  </conditionalFormatting>
  <dataValidations count="1">
    <dataValidation allowBlank="true" errorStyle="stop" operator="between" showDropDown="false" showErrorMessage="false" showInputMessage="false" sqref="I6:I31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51E0"/>
    <pageSetUpPr fitToPage="true"/>
  </sheetPr>
  <dimension ref="A1:J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7" min="7" style="0" width="13"/>
    <col collapsed="false" customWidth="true" hidden="false" outlineLevel="0" max="8" min="8" style="0" width="8"/>
    <col collapsed="false" customWidth="true" hidden="false" outlineLevel="0" max="9" min="9" style="0" width="24"/>
    <col collapsed="false" customWidth="true" hidden="false" outlineLevel="0" max="10" min="10" style="0" width="70"/>
  </cols>
  <sheetData>
    <row r="1" customFormat="false" ht="27.75" hidden="false" customHeight="tru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5" customFormat="false" ht="30" hidden="false" customHeight="true" outlineLevel="0" collapsed="false">
      <c r="A5" s="14" t="s">
        <v>32</v>
      </c>
      <c r="B5" s="14" t="s">
        <v>375</v>
      </c>
      <c r="C5" s="14" t="s">
        <v>376</v>
      </c>
      <c r="D5" s="14" t="s">
        <v>377</v>
      </c>
      <c r="E5" s="14" t="s">
        <v>378</v>
      </c>
      <c r="F5" s="14" t="s">
        <v>379</v>
      </c>
      <c r="G5" s="14" t="s">
        <v>380</v>
      </c>
      <c r="H5" s="14" t="s">
        <v>379</v>
      </c>
      <c r="I5" s="14" t="s">
        <v>381</v>
      </c>
      <c r="J5" s="14" t="s">
        <v>382</v>
      </c>
    </row>
    <row r="6" customFormat="false" ht="30" hidden="false" customHeight="true" outlineLevel="0" collapsed="false">
      <c r="A6" s="16" t="s">
        <v>42</v>
      </c>
      <c r="B6" s="16" t="s">
        <v>45</v>
      </c>
      <c r="C6" s="6" t="s">
        <v>294</v>
      </c>
      <c r="D6" s="30"/>
      <c r="E6" s="15" t="str">
        <f aca="false">IF(D6="","",D6+7)</f>
        <v/>
      </c>
      <c r="F6" s="17"/>
      <c r="G6" s="15" t="str">
        <f aca="false">IF(D6="","",D6+30)</f>
        <v/>
      </c>
      <c r="H6" s="17"/>
      <c r="I6" s="16" t="str">
        <f aca="true">IF(D6="",IF(TODAY()&gt;DATE(2026,11,8),"🔴 Atrasado","⚪ A estudar"),IF(AND(F6&lt;&gt;"✓",TODAY()&gt;=E6),"🟡 Fazer revisão de 7 dias",IF(AND(H6&lt;&gt;"✓",TODAY()&gt;=G6),"🟡 Fazer revisão de 30 dias","🟢 Em dia")))</f>
        <v>⚪ A estudar</v>
      </c>
      <c r="J6" s="31" t="s">
        <v>383</v>
      </c>
    </row>
    <row r="7" customFormat="false" ht="30" hidden="false" customHeight="true" outlineLevel="0" collapsed="false">
      <c r="A7" s="16" t="s">
        <v>42</v>
      </c>
      <c r="B7" s="16" t="s">
        <v>49</v>
      </c>
      <c r="C7" s="6" t="s">
        <v>295</v>
      </c>
      <c r="D7" s="30"/>
      <c r="E7" s="15" t="str">
        <f aca="false">IF(D7="","",D7+7)</f>
        <v/>
      </c>
      <c r="F7" s="17"/>
      <c r="G7" s="15" t="str">
        <f aca="false">IF(D7="","",D7+30)</f>
        <v/>
      </c>
      <c r="H7" s="17"/>
      <c r="I7" s="16" t="str">
        <f aca="true">IF(D7="",IF(TODAY()&gt;DATE(2026,11,8),"🔴 Atrasado","⚪ A estudar"),IF(AND(F7&lt;&gt;"✓",TODAY()&gt;=E7),"🟡 Fazer revisão de 7 dias",IF(AND(H7&lt;&gt;"✓",TODAY()&gt;=G7),"🟡 Fazer revisão de 30 dias","🟢 Em dia")))</f>
        <v>⚪ A estudar</v>
      </c>
      <c r="J7" s="31" t="s">
        <v>384</v>
      </c>
    </row>
    <row r="8" customFormat="false" ht="30" hidden="false" customHeight="true" outlineLevel="0" collapsed="false">
      <c r="A8" s="16" t="s">
        <v>42</v>
      </c>
      <c r="B8" s="16" t="s">
        <v>50</v>
      </c>
      <c r="C8" s="6" t="s">
        <v>296</v>
      </c>
      <c r="D8" s="30"/>
      <c r="E8" s="15" t="str">
        <f aca="false">IF(D8="","",D8+7)</f>
        <v/>
      </c>
      <c r="F8" s="17"/>
      <c r="G8" s="15" t="str">
        <f aca="false">IF(D8="","",D8+30)</f>
        <v/>
      </c>
      <c r="H8" s="17"/>
      <c r="I8" s="16" t="str">
        <f aca="true">IF(D8="",IF(TODAY()&gt;DATE(2026,11,8),"🔴 Atrasado","⚪ A estudar"),IF(AND(F8&lt;&gt;"✓",TODAY()&gt;=E8),"🟡 Fazer revisão de 7 dias",IF(AND(H8&lt;&gt;"✓",TODAY()&gt;=G8),"🟡 Fazer revisão de 30 dias","🟢 Em dia")))</f>
        <v>⚪ A estudar</v>
      </c>
      <c r="J8" s="31" t="s">
        <v>385</v>
      </c>
    </row>
    <row r="9" customFormat="false" ht="30" hidden="false" customHeight="true" outlineLevel="0" collapsed="false">
      <c r="A9" s="16" t="s">
        <v>61</v>
      </c>
      <c r="B9" s="16" t="s">
        <v>45</v>
      </c>
      <c r="C9" s="6" t="s">
        <v>298</v>
      </c>
      <c r="D9" s="30"/>
      <c r="E9" s="15" t="str">
        <f aca="false">IF(D9="","",D9+7)</f>
        <v/>
      </c>
      <c r="F9" s="17"/>
      <c r="G9" s="15" t="str">
        <f aca="false">IF(D9="","",D9+30)</f>
        <v/>
      </c>
      <c r="H9" s="17"/>
      <c r="I9" s="16" t="str">
        <f aca="true">IF(D9="",IF(TODAY()&gt;DATE(2026,11,15),"🔴 Atrasado","⚪ A estudar"),IF(AND(F9&lt;&gt;"✓",TODAY()&gt;=E9),"🟡 Fazer revisão de 7 dias",IF(AND(H9&lt;&gt;"✓",TODAY()&gt;=G9),"🟡 Fazer revisão de 30 dias","🟢 Em dia")))</f>
        <v>⚪ A estudar</v>
      </c>
      <c r="J9" s="31" t="s">
        <v>386</v>
      </c>
    </row>
    <row r="10" customFormat="false" ht="30" hidden="false" customHeight="true" outlineLevel="0" collapsed="false">
      <c r="A10" s="16" t="s">
        <v>61</v>
      </c>
      <c r="B10" s="16" t="s">
        <v>49</v>
      </c>
      <c r="C10" s="6" t="s">
        <v>299</v>
      </c>
      <c r="D10" s="30"/>
      <c r="E10" s="15" t="str">
        <f aca="false">IF(D10="","",D10+7)</f>
        <v/>
      </c>
      <c r="F10" s="17"/>
      <c r="G10" s="15" t="str">
        <f aca="false">IF(D10="","",D10+30)</f>
        <v/>
      </c>
      <c r="H10" s="17"/>
      <c r="I10" s="16" t="str">
        <f aca="true">IF(D10="",IF(TODAY()&gt;DATE(2026,11,15),"🔴 Atrasado","⚪ A estudar"),IF(AND(F10&lt;&gt;"✓",TODAY()&gt;=E10),"🟡 Fazer revisão de 7 dias",IF(AND(H10&lt;&gt;"✓",TODAY()&gt;=G10),"🟡 Fazer revisão de 30 dias","🟢 Em dia")))</f>
        <v>⚪ A estudar</v>
      </c>
      <c r="J10" s="31" t="s">
        <v>387</v>
      </c>
    </row>
    <row r="11" customFormat="false" ht="30" hidden="false" customHeight="true" outlineLevel="0" collapsed="false">
      <c r="A11" s="16" t="s">
        <v>61</v>
      </c>
      <c r="B11" s="16" t="s">
        <v>50</v>
      </c>
      <c r="C11" s="6" t="s">
        <v>300</v>
      </c>
      <c r="D11" s="30"/>
      <c r="E11" s="15" t="str">
        <f aca="false">IF(D11="","",D11+7)</f>
        <v/>
      </c>
      <c r="F11" s="17"/>
      <c r="G11" s="15" t="str">
        <f aca="false">IF(D11="","",D11+30)</f>
        <v/>
      </c>
      <c r="H11" s="17"/>
      <c r="I11" s="16" t="str">
        <f aca="true">IF(D11="",IF(TODAY()&gt;DATE(2026,11,15),"🔴 Atrasado","⚪ A estudar"),IF(AND(F11&lt;&gt;"✓",TODAY()&gt;=E11),"🟡 Fazer revisão de 7 dias",IF(AND(H11&lt;&gt;"✓",TODAY()&gt;=G11),"🟡 Fazer revisão de 30 dias","🟢 Em dia")))</f>
        <v>⚪ A estudar</v>
      </c>
      <c r="J11" s="31" t="s">
        <v>388</v>
      </c>
    </row>
    <row r="12" customFormat="false" ht="30" hidden="false" customHeight="true" outlineLevel="0" collapsed="false">
      <c r="A12" s="16" t="s">
        <v>70</v>
      </c>
      <c r="B12" s="16" t="s">
        <v>45</v>
      </c>
      <c r="C12" s="6" t="s">
        <v>301</v>
      </c>
      <c r="D12" s="30"/>
      <c r="E12" s="15" t="str">
        <f aca="false">IF(D12="","",D12+7)</f>
        <v/>
      </c>
      <c r="F12" s="17"/>
      <c r="G12" s="15" t="str">
        <f aca="false">IF(D12="","",D12+30)</f>
        <v/>
      </c>
      <c r="H12" s="17"/>
      <c r="I12" s="16" t="str">
        <f aca="true">IF(D12="",IF(TODAY()&gt;DATE(2026,11,22),"🔴 Atrasado","⚪ A estudar"),IF(AND(F12&lt;&gt;"✓",TODAY()&gt;=E12),"🟡 Fazer revisão de 7 dias",IF(AND(H12&lt;&gt;"✓",TODAY()&gt;=G12),"🟡 Fazer revisão de 30 dias","🟢 Em dia")))</f>
        <v>⚪ A estudar</v>
      </c>
      <c r="J12" s="31" t="s">
        <v>389</v>
      </c>
    </row>
    <row r="13" customFormat="false" ht="30" hidden="false" customHeight="true" outlineLevel="0" collapsed="false">
      <c r="A13" s="16" t="s">
        <v>70</v>
      </c>
      <c r="B13" s="16" t="s">
        <v>49</v>
      </c>
      <c r="C13" s="6" t="s">
        <v>302</v>
      </c>
      <c r="D13" s="30"/>
      <c r="E13" s="15" t="str">
        <f aca="false">IF(D13="","",D13+7)</f>
        <v/>
      </c>
      <c r="F13" s="17"/>
      <c r="G13" s="15" t="str">
        <f aca="false">IF(D13="","",D13+30)</f>
        <v/>
      </c>
      <c r="H13" s="17"/>
      <c r="I13" s="16" t="str">
        <f aca="true">IF(D13="",IF(TODAY()&gt;DATE(2026,11,22),"🔴 Atrasado","⚪ A estudar"),IF(AND(F13&lt;&gt;"✓",TODAY()&gt;=E13),"🟡 Fazer revisão de 7 dias",IF(AND(H13&lt;&gt;"✓",TODAY()&gt;=G13),"🟡 Fazer revisão de 30 dias","🟢 Em dia")))</f>
        <v>⚪ A estudar</v>
      </c>
      <c r="J13" s="31" t="s">
        <v>390</v>
      </c>
    </row>
    <row r="14" customFormat="false" ht="30" hidden="false" customHeight="true" outlineLevel="0" collapsed="false">
      <c r="A14" s="16" t="s">
        <v>70</v>
      </c>
      <c r="B14" s="16" t="s">
        <v>50</v>
      </c>
      <c r="C14" s="6" t="s">
        <v>303</v>
      </c>
      <c r="D14" s="30"/>
      <c r="E14" s="15" t="str">
        <f aca="false">IF(D14="","",D14+7)</f>
        <v/>
      </c>
      <c r="F14" s="17"/>
      <c r="G14" s="15" t="str">
        <f aca="false">IF(D14="","",D14+30)</f>
        <v/>
      </c>
      <c r="H14" s="17"/>
      <c r="I14" s="16" t="str">
        <f aca="true">IF(D14="",IF(TODAY()&gt;DATE(2026,11,22),"🔴 Atrasado","⚪ A estudar"),IF(AND(F14&lt;&gt;"✓",TODAY()&gt;=E14),"🟡 Fazer revisão de 7 dias",IF(AND(H14&lt;&gt;"✓",TODAY()&gt;=G14),"🟡 Fazer revisão de 30 dias","🟢 Em dia")))</f>
        <v>⚪ A estudar</v>
      </c>
      <c r="J14" s="31" t="s">
        <v>391</v>
      </c>
    </row>
    <row r="15" customFormat="false" ht="30" hidden="false" customHeight="true" outlineLevel="0" collapsed="false">
      <c r="A15" s="16" t="s">
        <v>79</v>
      </c>
      <c r="B15" s="16" t="s">
        <v>45</v>
      </c>
      <c r="C15" s="6" t="s">
        <v>304</v>
      </c>
      <c r="D15" s="30"/>
      <c r="E15" s="15" t="str">
        <f aca="false">IF(D15="","",D15+7)</f>
        <v/>
      </c>
      <c r="F15" s="17"/>
      <c r="G15" s="15" t="str">
        <f aca="false">IF(D15="","",D15+30)</f>
        <v/>
      </c>
      <c r="H15" s="17"/>
      <c r="I15" s="16" t="str">
        <f aca="true">IF(D15="",IF(TODAY()&gt;DATE(2026,11,29),"🔴 Atrasado","⚪ A estudar"),IF(AND(F15&lt;&gt;"✓",TODAY()&gt;=E15),"🟡 Fazer revisão de 7 dias",IF(AND(H15&lt;&gt;"✓",TODAY()&gt;=G15),"🟡 Fazer revisão de 30 dias","🟢 Em dia")))</f>
        <v>⚪ A estudar</v>
      </c>
      <c r="J15" s="31" t="s">
        <v>392</v>
      </c>
    </row>
    <row r="16" customFormat="false" ht="30" hidden="false" customHeight="true" outlineLevel="0" collapsed="false">
      <c r="A16" s="16" t="s">
        <v>79</v>
      </c>
      <c r="B16" s="16" t="s">
        <v>49</v>
      </c>
      <c r="C16" s="6" t="s">
        <v>305</v>
      </c>
      <c r="D16" s="30"/>
      <c r="E16" s="15" t="str">
        <f aca="false">IF(D16="","",D16+7)</f>
        <v/>
      </c>
      <c r="F16" s="17"/>
      <c r="G16" s="15" t="str">
        <f aca="false">IF(D16="","",D16+30)</f>
        <v/>
      </c>
      <c r="H16" s="17"/>
      <c r="I16" s="16" t="str">
        <f aca="true">IF(D16="",IF(TODAY()&gt;DATE(2026,11,29),"🔴 Atrasado","⚪ A estudar"),IF(AND(F16&lt;&gt;"✓",TODAY()&gt;=E16),"🟡 Fazer revisão de 7 dias",IF(AND(H16&lt;&gt;"✓",TODAY()&gt;=G16),"🟡 Fazer revisão de 30 dias","🟢 Em dia")))</f>
        <v>⚪ A estudar</v>
      </c>
      <c r="J16" s="31" t="s">
        <v>393</v>
      </c>
    </row>
    <row r="17" customFormat="false" ht="30" hidden="false" customHeight="true" outlineLevel="0" collapsed="false">
      <c r="A17" s="16" t="s">
        <v>79</v>
      </c>
      <c r="B17" s="16" t="s">
        <v>50</v>
      </c>
      <c r="C17" s="6" t="s">
        <v>306</v>
      </c>
      <c r="D17" s="30"/>
      <c r="E17" s="15" t="str">
        <f aca="false">IF(D17="","",D17+7)</f>
        <v/>
      </c>
      <c r="F17" s="17"/>
      <c r="G17" s="15" t="str">
        <f aca="false">IF(D17="","",D17+30)</f>
        <v/>
      </c>
      <c r="H17" s="17"/>
      <c r="I17" s="16" t="str">
        <f aca="true">IF(D17="",IF(TODAY()&gt;DATE(2026,11,29),"🔴 Atrasado","⚪ A estudar"),IF(AND(F17&lt;&gt;"✓",TODAY()&gt;=E17),"🟡 Fazer revisão de 7 dias",IF(AND(H17&lt;&gt;"✓",TODAY()&gt;=G17),"🟡 Fazer revisão de 30 dias","🟢 Em dia")))</f>
        <v>⚪ A estudar</v>
      </c>
      <c r="J17" s="31" t="s">
        <v>394</v>
      </c>
    </row>
    <row r="18" customFormat="false" ht="30" hidden="false" customHeight="true" outlineLevel="0" collapsed="false">
      <c r="A18" s="16" t="s">
        <v>88</v>
      </c>
      <c r="B18" s="16" t="s">
        <v>45</v>
      </c>
      <c r="C18" s="6" t="s">
        <v>307</v>
      </c>
      <c r="D18" s="30"/>
      <c r="E18" s="15" t="str">
        <f aca="false">IF(D18="","",D18+7)</f>
        <v/>
      </c>
      <c r="F18" s="17"/>
      <c r="G18" s="15" t="str">
        <f aca="false">IF(D18="","",D18+30)</f>
        <v/>
      </c>
      <c r="H18" s="17"/>
      <c r="I18" s="16" t="str">
        <f aca="true">IF(D18="",IF(TODAY()&gt;DATE(2026,12,6),"🔴 Atrasado","⚪ A estudar"),IF(AND(F18&lt;&gt;"✓",TODAY()&gt;=E18),"🟡 Fazer revisão de 7 dias",IF(AND(H18&lt;&gt;"✓",TODAY()&gt;=G18),"🟡 Fazer revisão de 30 dias","🟢 Em dia")))</f>
        <v>⚪ A estudar</v>
      </c>
      <c r="J18" s="31" t="s">
        <v>395</v>
      </c>
    </row>
    <row r="19" customFormat="false" ht="30" hidden="false" customHeight="true" outlineLevel="0" collapsed="false">
      <c r="A19" s="16" t="s">
        <v>88</v>
      </c>
      <c r="B19" s="16" t="s">
        <v>49</v>
      </c>
      <c r="C19" s="6" t="s">
        <v>308</v>
      </c>
      <c r="D19" s="30"/>
      <c r="E19" s="15" t="str">
        <f aca="false">IF(D19="","",D19+7)</f>
        <v/>
      </c>
      <c r="F19" s="17"/>
      <c r="G19" s="15" t="str">
        <f aca="false">IF(D19="","",D19+30)</f>
        <v/>
      </c>
      <c r="H19" s="17"/>
      <c r="I19" s="16" t="str">
        <f aca="true">IF(D19="",IF(TODAY()&gt;DATE(2026,12,6),"🔴 Atrasado","⚪ A estudar"),IF(AND(F19&lt;&gt;"✓",TODAY()&gt;=E19),"🟡 Fazer revisão de 7 dias",IF(AND(H19&lt;&gt;"✓",TODAY()&gt;=G19),"🟡 Fazer revisão de 30 dias","🟢 Em dia")))</f>
        <v>⚪ A estudar</v>
      </c>
      <c r="J19" s="31" t="s">
        <v>396</v>
      </c>
    </row>
    <row r="20" customFormat="false" ht="30" hidden="false" customHeight="true" outlineLevel="0" collapsed="false">
      <c r="A20" s="16" t="s">
        <v>88</v>
      </c>
      <c r="B20" s="16" t="s">
        <v>50</v>
      </c>
      <c r="C20" s="6" t="s">
        <v>309</v>
      </c>
      <c r="D20" s="30"/>
      <c r="E20" s="15" t="str">
        <f aca="false">IF(D20="","",D20+7)</f>
        <v/>
      </c>
      <c r="F20" s="17"/>
      <c r="G20" s="15" t="str">
        <f aca="false">IF(D20="","",D20+30)</f>
        <v/>
      </c>
      <c r="H20" s="17"/>
      <c r="I20" s="16" t="str">
        <f aca="true">IF(D20="",IF(TODAY()&gt;DATE(2026,12,6),"🔴 Atrasado","⚪ A estudar"),IF(AND(F20&lt;&gt;"✓",TODAY()&gt;=E20),"🟡 Fazer revisão de 7 dias",IF(AND(H20&lt;&gt;"✓",TODAY()&gt;=G20),"🟡 Fazer revisão de 30 dias","🟢 Em dia")))</f>
        <v>⚪ A estudar</v>
      </c>
      <c r="J20" s="31" t="s">
        <v>397</v>
      </c>
    </row>
    <row r="21" customFormat="false" ht="30" hidden="false" customHeight="true" outlineLevel="0" collapsed="false">
      <c r="A21" s="16" t="s">
        <v>97</v>
      </c>
      <c r="B21" s="16" t="s">
        <v>45</v>
      </c>
      <c r="C21" s="6" t="s">
        <v>310</v>
      </c>
      <c r="D21" s="30"/>
      <c r="E21" s="15" t="str">
        <f aca="false">IF(D21="","",D21+7)</f>
        <v/>
      </c>
      <c r="F21" s="17"/>
      <c r="G21" s="15" t="str">
        <f aca="false">IF(D21="","",D21+30)</f>
        <v/>
      </c>
      <c r="H21" s="17"/>
      <c r="I21" s="16" t="str">
        <f aca="true">IF(D21="",IF(TODAY()&gt;DATE(2026,12,13),"🔴 Atrasado","⚪ A estudar"),IF(AND(F21&lt;&gt;"✓",TODAY()&gt;=E21),"🟡 Fazer revisão de 7 dias",IF(AND(H21&lt;&gt;"✓",TODAY()&gt;=G21),"🟡 Fazer revisão de 30 dias","🟢 Em dia")))</f>
        <v>⚪ A estudar</v>
      </c>
      <c r="J21" s="31" t="s">
        <v>398</v>
      </c>
    </row>
    <row r="22" customFormat="false" ht="30" hidden="false" customHeight="true" outlineLevel="0" collapsed="false">
      <c r="A22" s="16" t="s">
        <v>97</v>
      </c>
      <c r="B22" s="16" t="s">
        <v>49</v>
      </c>
      <c r="C22" s="6" t="s">
        <v>311</v>
      </c>
      <c r="D22" s="30"/>
      <c r="E22" s="15" t="str">
        <f aca="false">IF(D22="","",D22+7)</f>
        <v/>
      </c>
      <c r="F22" s="17"/>
      <c r="G22" s="15" t="str">
        <f aca="false">IF(D22="","",D22+30)</f>
        <v/>
      </c>
      <c r="H22" s="17"/>
      <c r="I22" s="16" t="str">
        <f aca="true">IF(D22="",IF(TODAY()&gt;DATE(2026,12,13),"🔴 Atrasado","⚪ A estudar"),IF(AND(F22&lt;&gt;"✓",TODAY()&gt;=E22),"🟡 Fazer revisão de 7 dias",IF(AND(H22&lt;&gt;"✓",TODAY()&gt;=G22),"🟡 Fazer revisão de 30 dias","🟢 Em dia")))</f>
        <v>⚪ A estudar</v>
      </c>
      <c r="J22" s="31" t="s">
        <v>399</v>
      </c>
    </row>
    <row r="23" customFormat="false" ht="30" hidden="false" customHeight="true" outlineLevel="0" collapsed="false">
      <c r="A23" s="16" t="s">
        <v>97</v>
      </c>
      <c r="B23" s="16" t="s">
        <v>50</v>
      </c>
      <c r="C23" s="6" t="s">
        <v>312</v>
      </c>
      <c r="D23" s="30"/>
      <c r="E23" s="15" t="str">
        <f aca="false">IF(D23="","",D23+7)</f>
        <v/>
      </c>
      <c r="F23" s="17"/>
      <c r="G23" s="15" t="str">
        <f aca="false">IF(D23="","",D23+30)</f>
        <v/>
      </c>
      <c r="H23" s="17"/>
      <c r="I23" s="16" t="str">
        <f aca="true">IF(D23="",IF(TODAY()&gt;DATE(2026,12,13),"🔴 Atrasado","⚪ A estudar"),IF(AND(F23&lt;&gt;"✓",TODAY()&gt;=E23),"🟡 Fazer revisão de 7 dias",IF(AND(H23&lt;&gt;"✓",TODAY()&gt;=G23),"🟡 Fazer revisão de 30 dias","🟢 Em dia")))</f>
        <v>⚪ A estudar</v>
      </c>
      <c r="J23" s="31" t="s">
        <v>400</v>
      </c>
    </row>
    <row r="24" customFormat="false" ht="30" hidden="false" customHeight="true" outlineLevel="0" collapsed="false">
      <c r="A24" s="16" t="s">
        <v>106</v>
      </c>
      <c r="B24" s="16" t="s">
        <v>45</v>
      </c>
      <c r="C24" s="6" t="s">
        <v>313</v>
      </c>
      <c r="D24" s="30"/>
      <c r="E24" s="15" t="str">
        <f aca="false">IF(D24="","",D24+7)</f>
        <v/>
      </c>
      <c r="F24" s="17"/>
      <c r="G24" s="15" t="str">
        <f aca="false">IF(D24="","",D24+30)</f>
        <v/>
      </c>
      <c r="H24" s="17"/>
      <c r="I24" s="16" t="str">
        <f aca="true">IF(D24="",IF(TODAY()&gt;DATE(2026,12,20),"🔴 Atrasado","⚪ A estudar"),IF(AND(F24&lt;&gt;"✓",TODAY()&gt;=E24),"🟡 Fazer revisão de 7 dias",IF(AND(H24&lt;&gt;"✓",TODAY()&gt;=G24),"🟡 Fazer revisão de 30 dias","🟢 Em dia")))</f>
        <v>⚪ A estudar</v>
      </c>
      <c r="J24" s="31" t="s">
        <v>401</v>
      </c>
    </row>
    <row r="25" customFormat="false" ht="30" hidden="false" customHeight="true" outlineLevel="0" collapsed="false">
      <c r="A25" s="16" t="s">
        <v>106</v>
      </c>
      <c r="B25" s="16" t="s">
        <v>49</v>
      </c>
      <c r="C25" s="6" t="s">
        <v>314</v>
      </c>
      <c r="D25" s="30"/>
      <c r="E25" s="15" t="str">
        <f aca="false">IF(D25="","",D25+7)</f>
        <v/>
      </c>
      <c r="F25" s="17"/>
      <c r="G25" s="15" t="str">
        <f aca="false">IF(D25="","",D25+30)</f>
        <v/>
      </c>
      <c r="H25" s="17"/>
      <c r="I25" s="16" t="str">
        <f aca="true">IF(D25="",IF(TODAY()&gt;DATE(2026,12,20),"🔴 Atrasado","⚪ A estudar"),IF(AND(F25&lt;&gt;"✓",TODAY()&gt;=E25),"🟡 Fazer revisão de 7 dias",IF(AND(H25&lt;&gt;"✓",TODAY()&gt;=G25),"🟡 Fazer revisão de 30 dias","🟢 Em dia")))</f>
        <v>⚪ A estudar</v>
      </c>
      <c r="J25" s="31" t="s">
        <v>402</v>
      </c>
    </row>
    <row r="26" customFormat="false" ht="30" hidden="false" customHeight="true" outlineLevel="0" collapsed="false">
      <c r="A26" s="16" t="s">
        <v>106</v>
      </c>
      <c r="B26" s="16" t="s">
        <v>50</v>
      </c>
      <c r="C26" s="6" t="s">
        <v>315</v>
      </c>
      <c r="D26" s="30"/>
      <c r="E26" s="15" t="str">
        <f aca="false">IF(D26="","",D26+7)</f>
        <v/>
      </c>
      <c r="F26" s="17"/>
      <c r="G26" s="15" t="str">
        <f aca="false">IF(D26="","",D26+30)</f>
        <v/>
      </c>
      <c r="H26" s="17"/>
      <c r="I26" s="16" t="str">
        <f aca="true">IF(D26="",IF(TODAY()&gt;DATE(2026,12,20),"🔴 Atrasado","⚪ A estudar"),IF(AND(F26&lt;&gt;"✓",TODAY()&gt;=E26),"🟡 Fazer revisão de 7 dias",IF(AND(H26&lt;&gt;"✓",TODAY()&gt;=G26),"🟡 Fazer revisão de 30 dias","🟢 Em dia")))</f>
        <v>⚪ A estudar</v>
      </c>
      <c r="J26" s="31" t="s">
        <v>403</v>
      </c>
    </row>
    <row r="27" customFormat="false" ht="30" hidden="false" customHeight="true" outlineLevel="0" collapsed="false">
      <c r="A27" s="16" t="s">
        <v>119</v>
      </c>
      <c r="B27" s="16" t="s">
        <v>45</v>
      </c>
      <c r="C27" s="6" t="s">
        <v>318</v>
      </c>
      <c r="D27" s="30"/>
      <c r="E27" s="15" t="str">
        <f aca="false">IF(D27="","",D27+7)</f>
        <v/>
      </c>
      <c r="F27" s="17"/>
      <c r="G27" s="15" t="str">
        <f aca="false">IF(D27="","",D27+30)</f>
        <v/>
      </c>
      <c r="H27" s="17"/>
      <c r="I27" s="16" t="str">
        <f aca="true">IF(D27="",IF(TODAY()&gt;DATE(2027,1,3),"🔴 Atrasado","⚪ A estudar"),IF(AND(F27&lt;&gt;"✓",TODAY()&gt;=E27),"🟡 Fazer revisão de 7 dias",IF(AND(H27&lt;&gt;"✓",TODAY()&gt;=G27),"🟡 Fazer revisão de 30 dias","🟢 Em dia")))</f>
        <v>⚪ A estudar</v>
      </c>
      <c r="J27" s="31" t="s">
        <v>404</v>
      </c>
    </row>
    <row r="28" customFormat="false" ht="30" hidden="false" customHeight="true" outlineLevel="0" collapsed="false">
      <c r="A28" s="16" t="s">
        <v>119</v>
      </c>
      <c r="B28" s="16" t="s">
        <v>49</v>
      </c>
      <c r="C28" s="6" t="s">
        <v>319</v>
      </c>
      <c r="D28" s="30"/>
      <c r="E28" s="15" t="str">
        <f aca="false">IF(D28="","",D28+7)</f>
        <v/>
      </c>
      <c r="F28" s="17"/>
      <c r="G28" s="15" t="str">
        <f aca="false">IF(D28="","",D28+30)</f>
        <v/>
      </c>
      <c r="H28" s="17"/>
      <c r="I28" s="16" t="str">
        <f aca="true">IF(D28="",IF(TODAY()&gt;DATE(2027,1,3),"🔴 Atrasado","⚪ A estudar"),IF(AND(F28&lt;&gt;"✓",TODAY()&gt;=E28),"🟡 Fazer revisão de 7 dias",IF(AND(H28&lt;&gt;"✓",TODAY()&gt;=G28),"🟡 Fazer revisão de 30 dias","🟢 Em dia")))</f>
        <v>⚪ A estudar</v>
      </c>
      <c r="J28" s="31" t="s">
        <v>405</v>
      </c>
    </row>
    <row r="29" customFormat="false" ht="30" hidden="false" customHeight="true" outlineLevel="0" collapsed="false">
      <c r="A29" s="16" t="s">
        <v>119</v>
      </c>
      <c r="B29" s="16" t="s">
        <v>50</v>
      </c>
      <c r="C29" s="6" t="s">
        <v>320</v>
      </c>
      <c r="D29" s="30"/>
      <c r="E29" s="15" t="str">
        <f aca="false">IF(D29="","",D29+7)</f>
        <v/>
      </c>
      <c r="F29" s="17"/>
      <c r="G29" s="15" t="str">
        <f aca="false">IF(D29="","",D29+30)</f>
        <v/>
      </c>
      <c r="H29" s="17"/>
      <c r="I29" s="16" t="str">
        <f aca="true">IF(D29="",IF(TODAY()&gt;DATE(2027,1,3),"🔴 Atrasado","⚪ A estudar"),IF(AND(F29&lt;&gt;"✓",TODAY()&gt;=E29),"🟡 Fazer revisão de 7 dias",IF(AND(H29&lt;&gt;"✓",TODAY()&gt;=G29),"🟡 Fazer revisão de 30 dias","🟢 Em dia")))</f>
        <v>⚪ A estudar</v>
      </c>
      <c r="J29" s="31" t="s">
        <v>406</v>
      </c>
    </row>
    <row r="30" customFormat="false" ht="30" hidden="false" customHeight="true" outlineLevel="0" collapsed="false">
      <c r="A30" s="16" t="s">
        <v>128</v>
      </c>
      <c r="B30" s="16" t="s">
        <v>45</v>
      </c>
      <c r="C30" s="6" t="s">
        <v>321</v>
      </c>
      <c r="D30" s="30"/>
      <c r="E30" s="15" t="str">
        <f aca="false">IF(D30="","",D30+7)</f>
        <v/>
      </c>
      <c r="F30" s="17"/>
      <c r="G30" s="15" t="str">
        <f aca="false">IF(D30="","",D30+30)</f>
        <v/>
      </c>
      <c r="H30" s="17"/>
      <c r="I30" s="16" t="str">
        <f aca="true">IF(D30="",IF(TODAY()&gt;DATE(2027,1,10),"🔴 Atrasado","⚪ A estudar"),IF(AND(F30&lt;&gt;"✓",TODAY()&gt;=E30),"🟡 Fazer revisão de 7 dias",IF(AND(H30&lt;&gt;"✓",TODAY()&gt;=G30),"🟡 Fazer revisão de 30 dias","🟢 Em dia")))</f>
        <v>⚪ A estudar</v>
      </c>
      <c r="J30" s="31" t="s">
        <v>407</v>
      </c>
    </row>
    <row r="31" customFormat="false" ht="30" hidden="false" customHeight="true" outlineLevel="0" collapsed="false">
      <c r="A31" s="16" t="s">
        <v>128</v>
      </c>
      <c r="B31" s="16" t="s">
        <v>49</v>
      </c>
      <c r="C31" s="6" t="s">
        <v>322</v>
      </c>
      <c r="D31" s="30"/>
      <c r="E31" s="15" t="str">
        <f aca="false">IF(D31="","",D31+7)</f>
        <v/>
      </c>
      <c r="F31" s="17"/>
      <c r="G31" s="15" t="str">
        <f aca="false">IF(D31="","",D31+30)</f>
        <v/>
      </c>
      <c r="H31" s="17"/>
      <c r="I31" s="16" t="str">
        <f aca="true">IF(D31="",IF(TODAY()&gt;DATE(2027,1,10),"🔴 Atrasado","⚪ A estudar"),IF(AND(F31&lt;&gt;"✓",TODAY()&gt;=E31),"🟡 Fazer revisão de 7 dias",IF(AND(H31&lt;&gt;"✓",TODAY()&gt;=G31),"🟡 Fazer revisão de 30 dias","🟢 Em dia")))</f>
        <v>⚪ A estudar</v>
      </c>
      <c r="J31" s="31" t="s">
        <v>408</v>
      </c>
    </row>
    <row r="32" customFormat="false" ht="30" hidden="false" customHeight="true" outlineLevel="0" collapsed="false">
      <c r="A32" s="16" t="s">
        <v>128</v>
      </c>
      <c r="B32" s="16" t="s">
        <v>50</v>
      </c>
      <c r="C32" s="6" t="s">
        <v>323</v>
      </c>
      <c r="D32" s="30"/>
      <c r="E32" s="15" t="str">
        <f aca="false">IF(D32="","",D32+7)</f>
        <v/>
      </c>
      <c r="F32" s="17"/>
      <c r="G32" s="15" t="str">
        <f aca="false">IF(D32="","",D32+30)</f>
        <v/>
      </c>
      <c r="H32" s="17"/>
      <c r="I32" s="16" t="str">
        <f aca="true">IF(D32="",IF(TODAY()&gt;DATE(2027,1,10),"🔴 Atrasado","⚪ A estudar"),IF(AND(F32&lt;&gt;"✓",TODAY()&gt;=E32),"🟡 Fazer revisão de 7 dias",IF(AND(H32&lt;&gt;"✓",TODAY()&gt;=G32),"🟡 Fazer revisão de 30 dias","🟢 Em dia")))</f>
        <v>⚪ A estudar</v>
      </c>
      <c r="J32" s="31" t="s">
        <v>409</v>
      </c>
    </row>
    <row r="33" customFormat="false" ht="30" hidden="false" customHeight="true" outlineLevel="0" collapsed="false">
      <c r="A33" s="16" t="s">
        <v>137</v>
      </c>
      <c r="B33" s="16" t="s">
        <v>45</v>
      </c>
      <c r="C33" s="6" t="s">
        <v>324</v>
      </c>
      <c r="D33" s="30"/>
      <c r="E33" s="15" t="str">
        <f aca="false">IF(D33="","",D33+7)</f>
        <v/>
      </c>
      <c r="F33" s="17"/>
      <c r="G33" s="15" t="str">
        <f aca="false">IF(D33="","",D33+30)</f>
        <v/>
      </c>
      <c r="H33" s="17"/>
      <c r="I33" s="16" t="str">
        <f aca="true">IF(D33="",IF(TODAY()&gt;DATE(2027,1,17),"🔴 Atrasado","⚪ A estudar"),IF(AND(F33&lt;&gt;"✓",TODAY()&gt;=E33),"🟡 Fazer revisão de 7 dias",IF(AND(H33&lt;&gt;"✓",TODAY()&gt;=G33),"🟡 Fazer revisão de 30 dias","🟢 Em dia")))</f>
        <v>⚪ A estudar</v>
      </c>
      <c r="J33" s="31" t="s">
        <v>410</v>
      </c>
    </row>
    <row r="34" customFormat="false" ht="30" hidden="false" customHeight="true" outlineLevel="0" collapsed="false">
      <c r="A34" s="16" t="s">
        <v>137</v>
      </c>
      <c r="B34" s="16" t="s">
        <v>49</v>
      </c>
      <c r="C34" s="6" t="s">
        <v>325</v>
      </c>
      <c r="D34" s="30"/>
      <c r="E34" s="15" t="str">
        <f aca="false">IF(D34="","",D34+7)</f>
        <v/>
      </c>
      <c r="F34" s="17"/>
      <c r="G34" s="15" t="str">
        <f aca="false">IF(D34="","",D34+30)</f>
        <v/>
      </c>
      <c r="H34" s="17"/>
      <c r="I34" s="16" t="str">
        <f aca="true">IF(D34="",IF(TODAY()&gt;DATE(2027,1,17),"🔴 Atrasado","⚪ A estudar"),IF(AND(F34&lt;&gt;"✓",TODAY()&gt;=E34),"🟡 Fazer revisão de 7 dias",IF(AND(H34&lt;&gt;"✓",TODAY()&gt;=G34),"🟡 Fazer revisão de 30 dias","🟢 Em dia")))</f>
        <v>⚪ A estudar</v>
      </c>
      <c r="J34" s="31" t="s">
        <v>411</v>
      </c>
    </row>
    <row r="35" customFormat="false" ht="30" hidden="false" customHeight="true" outlineLevel="0" collapsed="false">
      <c r="A35" s="16" t="s">
        <v>137</v>
      </c>
      <c r="B35" s="16" t="s">
        <v>50</v>
      </c>
      <c r="C35" s="6" t="s">
        <v>326</v>
      </c>
      <c r="D35" s="30"/>
      <c r="E35" s="15" t="str">
        <f aca="false">IF(D35="","",D35+7)</f>
        <v/>
      </c>
      <c r="F35" s="17"/>
      <c r="G35" s="15" t="str">
        <f aca="false">IF(D35="","",D35+30)</f>
        <v/>
      </c>
      <c r="H35" s="17"/>
      <c r="I35" s="16" t="str">
        <f aca="true">IF(D35="",IF(TODAY()&gt;DATE(2027,1,17),"🔴 Atrasado","⚪ A estudar"),IF(AND(F35&lt;&gt;"✓",TODAY()&gt;=E35),"🟡 Fazer revisão de 7 dias",IF(AND(H35&lt;&gt;"✓",TODAY()&gt;=G35),"🟡 Fazer revisão de 30 dias","🟢 Em dia")))</f>
        <v>⚪ A estudar</v>
      </c>
      <c r="J35" s="31" t="s">
        <v>412</v>
      </c>
    </row>
    <row r="36" customFormat="false" ht="30" hidden="false" customHeight="true" outlineLevel="0" collapsed="false">
      <c r="A36" s="16" t="s">
        <v>146</v>
      </c>
      <c r="B36" s="16" t="s">
        <v>45</v>
      </c>
      <c r="C36" s="6" t="s">
        <v>327</v>
      </c>
      <c r="D36" s="30"/>
      <c r="E36" s="15" t="str">
        <f aca="false">IF(D36="","",D36+7)</f>
        <v/>
      </c>
      <c r="F36" s="17"/>
      <c r="G36" s="15" t="str">
        <f aca="false">IF(D36="","",D36+30)</f>
        <v/>
      </c>
      <c r="H36" s="17"/>
      <c r="I36" s="16" t="str">
        <f aca="true">IF(D36="",IF(TODAY()&gt;DATE(2027,1,24),"🔴 Atrasado","⚪ A estudar"),IF(AND(F36&lt;&gt;"✓",TODAY()&gt;=E36),"🟡 Fazer revisão de 7 dias",IF(AND(H36&lt;&gt;"✓",TODAY()&gt;=G36),"🟡 Fazer revisão de 30 dias","🟢 Em dia")))</f>
        <v>⚪ A estudar</v>
      </c>
      <c r="J36" s="31" t="s">
        <v>413</v>
      </c>
    </row>
    <row r="37" customFormat="false" ht="30" hidden="false" customHeight="true" outlineLevel="0" collapsed="false">
      <c r="A37" s="16" t="s">
        <v>146</v>
      </c>
      <c r="B37" s="16" t="s">
        <v>49</v>
      </c>
      <c r="C37" s="6" t="s">
        <v>328</v>
      </c>
      <c r="D37" s="30"/>
      <c r="E37" s="15" t="str">
        <f aca="false">IF(D37="","",D37+7)</f>
        <v/>
      </c>
      <c r="F37" s="17"/>
      <c r="G37" s="15" t="str">
        <f aca="false">IF(D37="","",D37+30)</f>
        <v/>
      </c>
      <c r="H37" s="17"/>
      <c r="I37" s="16" t="str">
        <f aca="true">IF(D37="",IF(TODAY()&gt;DATE(2027,1,24),"🔴 Atrasado","⚪ A estudar"),IF(AND(F37&lt;&gt;"✓",TODAY()&gt;=E37),"🟡 Fazer revisão de 7 dias",IF(AND(H37&lt;&gt;"✓",TODAY()&gt;=G37),"🟡 Fazer revisão de 30 dias","🟢 Em dia")))</f>
        <v>⚪ A estudar</v>
      </c>
      <c r="J37" s="31" t="s">
        <v>414</v>
      </c>
    </row>
    <row r="38" customFormat="false" ht="30" hidden="false" customHeight="true" outlineLevel="0" collapsed="false">
      <c r="A38" s="16" t="s">
        <v>146</v>
      </c>
      <c r="B38" s="16" t="s">
        <v>50</v>
      </c>
      <c r="C38" s="6" t="s">
        <v>329</v>
      </c>
      <c r="D38" s="30"/>
      <c r="E38" s="15" t="str">
        <f aca="false">IF(D38="","",D38+7)</f>
        <v/>
      </c>
      <c r="F38" s="17"/>
      <c r="G38" s="15" t="str">
        <f aca="false">IF(D38="","",D38+30)</f>
        <v/>
      </c>
      <c r="H38" s="17"/>
      <c r="I38" s="16" t="str">
        <f aca="true">IF(D38="",IF(TODAY()&gt;DATE(2027,1,24),"🔴 Atrasado","⚪ A estudar"),IF(AND(F38&lt;&gt;"✓",TODAY()&gt;=E38),"🟡 Fazer revisão de 7 dias",IF(AND(H38&lt;&gt;"✓",TODAY()&gt;=G38),"🟡 Fazer revisão de 30 dias","🟢 Em dia")))</f>
        <v>⚪ A estudar</v>
      </c>
      <c r="J38" s="31" t="s">
        <v>415</v>
      </c>
    </row>
    <row r="39" customFormat="false" ht="30" hidden="false" customHeight="true" outlineLevel="0" collapsed="false">
      <c r="A39" s="16" t="s">
        <v>155</v>
      </c>
      <c r="B39" s="16" t="s">
        <v>45</v>
      </c>
      <c r="C39" s="6" t="s">
        <v>330</v>
      </c>
      <c r="D39" s="30"/>
      <c r="E39" s="15" t="str">
        <f aca="false">IF(D39="","",D39+7)</f>
        <v/>
      </c>
      <c r="F39" s="17"/>
      <c r="G39" s="15" t="str">
        <f aca="false">IF(D39="","",D39+30)</f>
        <v/>
      </c>
      <c r="H39" s="17"/>
      <c r="I39" s="16" t="str">
        <f aca="true">IF(D39="",IF(TODAY()&gt;DATE(2027,1,31),"🔴 Atrasado","⚪ A estudar"),IF(AND(F39&lt;&gt;"✓",TODAY()&gt;=E39),"🟡 Fazer revisão de 7 dias",IF(AND(H39&lt;&gt;"✓",TODAY()&gt;=G39),"🟡 Fazer revisão de 30 dias","🟢 Em dia")))</f>
        <v>⚪ A estudar</v>
      </c>
      <c r="J39" s="31" t="s">
        <v>416</v>
      </c>
    </row>
    <row r="40" customFormat="false" ht="30" hidden="false" customHeight="true" outlineLevel="0" collapsed="false">
      <c r="A40" s="16" t="s">
        <v>155</v>
      </c>
      <c r="B40" s="16" t="s">
        <v>49</v>
      </c>
      <c r="C40" s="6" t="s">
        <v>331</v>
      </c>
      <c r="D40" s="30"/>
      <c r="E40" s="15" t="str">
        <f aca="false">IF(D40="","",D40+7)</f>
        <v/>
      </c>
      <c r="F40" s="17"/>
      <c r="G40" s="15" t="str">
        <f aca="false">IF(D40="","",D40+30)</f>
        <v/>
      </c>
      <c r="H40" s="17"/>
      <c r="I40" s="16" t="str">
        <f aca="true">IF(D40="",IF(TODAY()&gt;DATE(2027,1,31),"🔴 Atrasado","⚪ A estudar"),IF(AND(F40&lt;&gt;"✓",TODAY()&gt;=E40),"🟡 Fazer revisão de 7 dias",IF(AND(H40&lt;&gt;"✓",TODAY()&gt;=G40),"🟡 Fazer revisão de 30 dias","🟢 Em dia")))</f>
        <v>⚪ A estudar</v>
      </c>
      <c r="J40" s="31" t="s">
        <v>417</v>
      </c>
    </row>
    <row r="41" customFormat="false" ht="30" hidden="false" customHeight="true" outlineLevel="0" collapsed="false">
      <c r="A41" s="16" t="s">
        <v>155</v>
      </c>
      <c r="B41" s="16" t="s">
        <v>50</v>
      </c>
      <c r="C41" s="6" t="s">
        <v>332</v>
      </c>
      <c r="D41" s="30"/>
      <c r="E41" s="15" t="str">
        <f aca="false">IF(D41="","",D41+7)</f>
        <v/>
      </c>
      <c r="F41" s="17"/>
      <c r="G41" s="15" t="str">
        <f aca="false">IF(D41="","",D41+30)</f>
        <v/>
      </c>
      <c r="H41" s="17"/>
      <c r="I41" s="16" t="str">
        <f aca="true">IF(D41="",IF(TODAY()&gt;DATE(2027,1,31),"🔴 Atrasado","⚪ A estudar"),IF(AND(F41&lt;&gt;"✓",TODAY()&gt;=E41),"🟡 Fazer revisão de 7 dias",IF(AND(H41&lt;&gt;"✓",TODAY()&gt;=G41),"🟡 Fazer revisão de 30 dias","🟢 Em dia")))</f>
        <v>⚪ A estudar</v>
      </c>
      <c r="J41" s="31" t="s">
        <v>418</v>
      </c>
    </row>
    <row r="42" customFormat="false" ht="30" hidden="false" customHeight="true" outlineLevel="0" collapsed="false">
      <c r="A42" s="16" t="s">
        <v>167</v>
      </c>
      <c r="B42" s="16" t="s">
        <v>45</v>
      </c>
      <c r="C42" s="6" t="s">
        <v>334</v>
      </c>
      <c r="D42" s="30"/>
      <c r="E42" s="15" t="str">
        <f aca="false">IF(D42="","",D42+7)</f>
        <v/>
      </c>
      <c r="F42" s="17"/>
      <c r="G42" s="15" t="str">
        <f aca="false">IF(D42="","",D42+30)</f>
        <v/>
      </c>
      <c r="H42" s="17"/>
      <c r="I42" s="16" t="str">
        <f aca="true">IF(D42="",IF(TODAY()&gt;DATE(2027,2,7),"🔴 Atrasado","⚪ A estudar"),IF(AND(F42&lt;&gt;"✓",TODAY()&gt;=E42),"🟡 Fazer revisão de 7 dias",IF(AND(H42&lt;&gt;"✓",TODAY()&gt;=G42),"🟡 Fazer revisão de 30 dias","🟢 Em dia")))</f>
        <v>⚪ A estudar</v>
      </c>
      <c r="J42" s="31" t="s">
        <v>419</v>
      </c>
    </row>
    <row r="43" customFormat="false" ht="30" hidden="false" customHeight="true" outlineLevel="0" collapsed="false">
      <c r="A43" s="16" t="s">
        <v>167</v>
      </c>
      <c r="B43" s="16" t="s">
        <v>49</v>
      </c>
      <c r="C43" s="6" t="s">
        <v>335</v>
      </c>
      <c r="D43" s="30"/>
      <c r="E43" s="15" t="str">
        <f aca="false">IF(D43="","",D43+7)</f>
        <v/>
      </c>
      <c r="F43" s="17"/>
      <c r="G43" s="15" t="str">
        <f aca="false">IF(D43="","",D43+30)</f>
        <v/>
      </c>
      <c r="H43" s="17"/>
      <c r="I43" s="16" t="str">
        <f aca="true">IF(D43="",IF(TODAY()&gt;DATE(2027,2,7),"🔴 Atrasado","⚪ A estudar"),IF(AND(F43&lt;&gt;"✓",TODAY()&gt;=E43),"🟡 Fazer revisão de 7 dias",IF(AND(H43&lt;&gt;"✓",TODAY()&gt;=G43),"🟡 Fazer revisão de 30 dias","🟢 Em dia")))</f>
        <v>⚪ A estudar</v>
      </c>
      <c r="J43" s="31" t="s">
        <v>335</v>
      </c>
    </row>
    <row r="44" customFormat="false" ht="30" hidden="false" customHeight="true" outlineLevel="0" collapsed="false">
      <c r="A44" s="16" t="s">
        <v>167</v>
      </c>
      <c r="B44" s="16" t="s">
        <v>50</v>
      </c>
      <c r="C44" s="6" t="s">
        <v>336</v>
      </c>
      <c r="D44" s="30"/>
      <c r="E44" s="15" t="str">
        <f aca="false">IF(D44="","",D44+7)</f>
        <v/>
      </c>
      <c r="F44" s="17"/>
      <c r="G44" s="15" t="str">
        <f aca="false">IF(D44="","",D44+30)</f>
        <v/>
      </c>
      <c r="H44" s="17"/>
      <c r="I44" s="16" t="str">
        <f aca="true">IF(D44="",IF(TODAY()&gt;DATE(2027,2,7),"🔴 Atrasado","⚪ A estudar"),IF(AND(F44&lt;&gt;"✓",TODAY()&gt;=E44),"🟡 Fazer revisão de 7 dias",IF(AND(H44&lt;&gt;"✓",TODAY()&gt;=G44),"🟡 Fazer revisão de 30 dias","🟢 Em dia")))</f>
        <v>⚪ A estudar</v>
      </c>
      <c r="J44" s="31" t="s">
        <v>420</v>
      </c>
    </row>
    <row r="45" customFormat="false" ht="30" hidden="false" customHeight="true" outlineLevel="0" collapsed="false">
      <c r="A45" s="16" t="s">
        <v>177</v>
      </c>
      <c r="B45" s="16" t="s">
        <v>45</v>
      </c>
      <c r="C45" s="6" t="s">
        <v>338</v>
      </c>
      <c r="D45" s="30"/>
      <c r="E45" s="15" t="str">
        <f aca="false">IF(D45="","",D45+7)</f>
        <v/>
      </c>
      <c r="F45" s="17"/>
      <c r="G45" s="15" t="str">
        <f aca="false">IF(D45="","",D45+30)</f>
        <v/>
      </c>
      <c r="H45" s="17"/>
      <c r="I45" s="16" t="str">
        <f aca="true">IF(D45="",IF(TODAY()&gt;DATE(2027,2,21),"🔴 Atrasado","⚪ A estudar"),IF(AND(F45&lt;&gt;"✓",TODAY()&gt;=E45),"🟡 Fazer revisão de 7 dias",IF(AND(H45&lt;&gt;"✓",TODAY()&gt;=G45),"🟡 Fazer revisão de 30 dias","🟢 Em dia")))</f>
        <v>⚪ A estudar</v>
      </c>
      <c r="J45" s="31" t="s">
        <v>421</v>
      </c>
    </row>
    <row r="46" customFormat="false" ht="30" hidden="false" customHeight="true" outlineLevel="0" collapsed="false">
      <c r="A46" s="16" t="s">
        <v>177</v>
      </c>
      <c r="B46" s="16" t="s">
        <v>49</v>
      </c>
      <c r="C46" s="6" t="s">
        <v>339</v>
      </c>
      <c r="D46" s="30"/>
      <c r="E46" s="15" t="str">
        <f aca="false">IF(D46="","",D46+7)</f>
        <v/>
      </c>
      <c r="F46" s="17"/>
      <c r="G46" s="15" t="str">
        <f aca="false">IF(D46="","",D46+30)</f>
        <v/>
      </c>
      <c r="H46" s="17"/>
      <c r="I46" s="16" t="str">
        <f aca="true">IF(D46="",IF(TODAY()&gt;DATE(2027,2,21),"🔴 Atrasado","⚪ A estudar"),IF(AND(F46&lt;&gt;"✓",TODAY()&gt;=E46),"🟡 Fazer revisão de 7 dias",IF(AND(H46&lt;&gt;"✓",TODAY()&gt;=G46),"🟡 Fazer revisão de 30 dias","🟢 Em dia")))</f>
        <v>⚪ A estudar</v>
      </c>
      <c r="J46" s="31" t="s">
        <v>422</v>
      </c>
    </row>
    <row r="47" customFormat="false" ht="30" hidden="false" customHeight="true" outlineLevel="0" collapsed="false">
      <c r="A47" s="16" t="s">
        <v>177</v>
      </c>
      <c r="B47" s="16" t="s">
        <v>50</v>
      </c>
      <c r="C47" s="6" t="s">
        <v>340</v>
      </c>
      <c r="D47" s="30"/>
      <c r="E47" s="15" t="str">
        <f aca="false">IF(D47="","",D47+7)</f>
        <v/>
      </c>
      <c r="F47" s="17"/>
      <c r="G47" s="15" t="str">
        <f aca="false">IF(D47="","",D47+30)</f>
        <v/>
      </c>
      <c r="H47" s="17"/>
      <c r="I47" s="16" t="str">
        <f aca="true">IF(D47="",IF(TODAY()&gt;DATE(2027,2,21),"🔴 Atrasado","⚪ A estudar"),IF(AND(F47&lt;&gt;"✓",TODAY()&gt;=E47),"🟡 Fazer revisão de 7 dias",IF(AND(H47&lt;&gt;"✓",TODAY()&gt;=G47),"🟡 Fazer revisão de 30 dias","🟢 Em dia")))</f>
        <v>⚪ A estudar</v>
      </c>
      <c r="J47" s="31" t="s">
        <v>423</v>
      </c>
    </row>
    <row r="48" customFormat="false" ht="30" hidden="false" customHeight="true" outlineLevel="0" collapsed="false">
      <c r="A48" s="16" t="s">
        <v>186</v>
      </c>
      <c r="B48" s="16" t="s">
        <v>45</v>
      </c>
      <c r="C48" s="6" t="s">
        <v>341</v>
      </c>
      <c r="D48" s="30"/>
      <c r="E48" s="15" t="str">
        <f aca="false">IF(D48="","",D48+7)</f>
        <v/>
      </c>
      <c r="F48" s="17"/>
      <c r="G48" s="15" t="str">
        <f aca="false">IF(D48="","",D48+30)</f>
        <v/>
      </c>
      <c r="H48" s="17"/>
      <c r="I48" s="16" t="str">
        <f aca="true">IF(D48="",IF(TODAY()&gt;DATE(2027,2,28),"🔴 Atrasado","⚪ A estudar"),IF(AND(F48&lt;&gt;"✓",TODAY()&gt;=E48),"🟡 Fazer revisão de 7 dias",IF(AND(H48&lt;&gt;"✓",TODAY()&gt;=G48),"🟡 Fazer revisão de 30 dias","🟢 Em dia")))</f>
        <v>⚪ A estudar</v>
      </c>
      <c r="J48" s="31" t="s">
        <v>424</v>
      </c>
    </row>
    <row r="49" customFormat="false" ht="30" hidden="false" customHeight="true" outlineLevel="0" collapsed="false">
      <c r="A49" s="16" t="s">
        <v>186</v>
      </c>
      <c r="B49" s="16" t="s">
        <v>49</v>
      </c>
      <c r="C49" s="6" t="s">
        <v>342</v>
      </c>
      <c r="D49" s="30"/>
      <c r="E49" s="15" t="str">
        <f aca="false">IF(D49="","",D49+7)</f>
        <v/>
      </c>
      <c r="F49" s="17"/>
      <c r="G49" s="15" t="str">
        <f aca="false">IF(D49="","",D49+30)</f>
        <v/>
      </c>
      <c r="H49" s="17"/>
      <c r="I49" s="16" t="str">
        <f aca="true">IF(D49="",IF(TODAY()&gt;DATE(2027,2,28),"🔴 Atrasado","⚪ A estudar"),IF(AND(F49&lt;&gt;"✓",TODAY()&gt;=E49),"🟡 Fazer revisão de 7 dias",IF(AND(H49&lt;&gt;"✓",TODAY()&gt;=G49),"🟡 Fazer revisão de 30 dias","🟢 Em dia")))</f>
        <v>⚪ A estudar</v>
      </c>
      <c r="J49" s="31" t="s">
        <v>425</v>
      </c>
    </row>
    <row r="50" customFormat="false" ht="30" hidden="false" customHeight="true" outlineLevel="0" collapsed="false">
      <c r="A50" s="16" t="s">
        <v>186</v>
      </c>
      <c r="B50" s="16" t="s">
        <v>50</v>
      </c>
      <c r="C50" s="6" t="s">
        <v>343</v>
      </c>
      <c r="D50" s="30"/>
      <c r="E50" s="15" t="str">
        <f aca="false">IF(D50="","",D50+7)</f>
        <v/>
      </c>
      <c r="F50" s="17"/>
      <c r="G50" s="15" t="str">
        <f aca="false">IF(D50="","",D50+30)</f>
        <v/>
      </c>
      <c r="H50" s="17"/>
      <c r="I50" s="16" t="str">
        <f aca="true">IF(D50="",IF(TODAY()&gt;DATE(2027,2,28),"🔴 Atrasado","⚪ A estudar"),IF(AND(F50&lt;&gt;"✓",TODAY()&gt;=E50),"🟡 Fazer revisão de 7 dias",IF(AND(H50&lt;&gt;"✓",TODAY()&gt;=G50),"🟡 Fazer revisão de 30 dias","🟢 Em dia")))</f>
        <v>⚪ A estudar</v>
      </c>
      <c r="J50" s="31" t="s">
        <v>426</v>
      </c>
    </row>
    <row r="51" customFormat="false" ht="30" hidden="false" customHeight="true" outlineLevel="0" collapsed="false">
      <c r="A51" s="16" t="s">
        <v>195</v>
      </c>
      <c r="B51" s="16" t="s">
        <v>45</v>
      </c>
      <c r="C51" s="6" t="s">
        <v>344</v>
      </c>
      <c r="D51" s="30"/>
      <c r="E51" s="15" t="str">
        <f aca="false">IF(D51="","",D51+7)</f>
        <v/>
      </c>
      <c r="F51" s="17"/>
      <c r="G51" s="15" t="str">
        <f aca="false">IF(D51="","",D51+30)</f>
        <v/>
      </c>
      <c r="H51" s="17"/>
      <c r="I51" s="16" t="str">
        <f aca="true">IF(D51="",IF(TODAY()&gt;DATE(2027,3,7),"🔴 Atrasado","⚪ A estudar"),IF(AND(F51&lt;&gt;"✓",TODAY()&gt;=E51),"🟡 Fazer revisão de 7 dias",IF(AND(H51&lt;&gt;"✓",TODAY()&gt;=G51),"🟡 Fazer revisão de 30 dias","🟢 Em dia")))</f>
        <v>⚪ A estudar</v>
      </c>
      <c r="J51" s="31" t="s">
        <v>427</v>
      </c>
    </row>
    <row r="52" customFormat="false" ht="30" hidden="false" customHeight="true" outlineLevel="0" collapsed="false">
      <c r="A52" s="16" t="s">
        <v>195</v>
      </c>
      <c r="B52" s="16" t="s">
        <v>49</v>
      </c>
      <c r="C52" s="6" t="s">
        <v>345</v>
      </c>
      <c r="D52" s="30"/>
      <c r="E52" s="15" t="str">
        <f aca="false">IF(D52="","",D52+7)</f>
        <v/>
      </c>
      <c r="F52" s="17"/>
      <c r="G52" s="15" t="str">
        <f aca="false">IF(D52="","",D52+30)</f>
        <v/>
      </c>
      <c r="H52" s="17"/>
      <c r="I52" s="16" t="str">
        <f aca="true">IF(D52="",IF(TODAY()&gt;DATE(2027,3,7),"🔴 Atrasado","⚪ A estudar"),IF(AND(F52&lt;&gt;"✓",TODAY()&gt;=E52),"🟡 Fazer revisão de 7 dias",IF(AND(H52&lt;&gt;"✓",TODAY()&gt;=G52),"🟡 Fazer revisão de 30 dias","🟢 Em dia")))</f>
        <v>⚪ A estudar</v>
      </c>
      <c r="J52" s="31" t="s">
        <v>428</v>
      </c>
    </row>
    <row r="53" customFormat="false" ht="30" hidden="false" customHeight="true" outlineLevel="0" collapsed="false">
      <c r="A53" s="16" t="s">
        <v>195</v>
      </c>
      <c r="B53" s="16" t="s">
        <v>50</v>
      </c>
      <c r="C53" s="6" t="s">
        <v>346</v>
      </c>
      <c r="D53" s="30"/>
      <c r="E53" s="15" t="str">
        <f aca="false">IF(D53="","",D53+7)</f>
        <v/>
      </c>
      <c r="F53" s="17"/>
      <c r="G53" s="15" t="str">
        <f aca="false">IF(D53="","",D53+30)</f>
        <v/>
      </c>
      <c r="H53" s="17"/>
      <c r="I53" s="16" t="str">
        <f aca="true">IF(D53="",IF(TODAY()&gt;DATE(2027,3,7),"🔴 Atrasado","⚪ A estudar"),IF(AND(F53&lt;&gt;"✓",TODAY()&gt;=E53),"🟡 Fazer revisão de 7 dias",IF(AND(H53&lt;&gt;"✓",TODAY()&gt;=G53),"🟡 Fazer revisão de 30 dias","🟢 Em dia")))</f>
        <v>⚪ A estudar</v>
      </c>
      <c r="J53" s="31" t="s">
        <v>429</v>
      </c>
    </row>
    <row r="54" customFormat="false" ht="30" hidden="false" customHeight="true" outlineLevel="0" collapsed="false">
      <c r="A54" s="16" t="s">
        <v>204</v>
      </c>
      <c r="B54" s="16" t="s">
        <v>45</v>
      </c>
      <c r="C54" s="6" t="s">
        <v>347</v>
      </c>
      <c r="D54" s="30"/>
      <c r="E54" s="15" t="str">
        <f aca="false">IF(D54="","",D54+7)</f>
        <v/>
      </c>
      <c r="F54" s="17"/>
      <c r="G54" s="15" t="str">
        <f aca="false">IF(D54="","",D54+30)</f>
        <v/>
      </c>
      <c r="H54" s="17"/>
      <c r="I54" s="16" t="str">
        <f aca="true">IF(D54="",IF(TODAY()&gt;DATE(2027,3,14),"🔴 Atrasado","⚪ A estudar"),IF(AND(F54&lt;&gt;"✓",TODAY()&gt;=E54),"🟡 Fazer revisão de 7 dias",IF(AND(H54&lt;&gt;"✓",TODAY()&gt;=G54),"🟡 Fazer revisão de 30 dias","🟢 Em dia")))</f>
        <v>⚪ A estudar</v>
      </c>
      <c r="J54" s="31" t="s">
        <v>430</v>
      </c>
    </row>
    <row r="55" customFormat="false" ht="30" hidden="false" customHeight="true" outlineLevel="0" collapsed="false">
      <c r="A55" s="16" t="s">
        <v>204</v>
      </c>
      <c r="B55" s="16" t="s">
        <v>50</v>
      </c>
      <c r="C55" s="6" t="s">
        <v>349</v>
      </c>
      <c r="D55" s="30"/>
      <c r="E55" s="15" t="str">
        <f aca="false">IF(D55="","",D55+7)</f>
        <v/>
      </c>
      <c r="F55" s="17"/>
      <c r="G55" s="15" t="str">
        <f aca="false">IF(D55="","",D55+30)</f>
        <v/>
      </c>
      <c r="H55" s="17"/>
      <c r="I55" s="16" t="str">
        <f aca="true">IF(D55="",IF(TODAY()&gt;DATE(2027,3,14),"🔴 Atrasado","⚪ A estudar"),IF(AND(F55&lt;&gt;"✓",TODAY()&gt;=E55),"🟡 Fazer revisão de 7 dias",IF(AND(H55&lt;&gt;"✓",TODAY()&gt;=G55),"🟡 Fazer revisão de 30 dias","🟢 Em dia")))</f>
        <v>⚪ A estudar</v>
      </c>
      <c r="J55" s="31" t="s">
        <v>431</v>
      </c>
    </row>
    <row r="56" customFormat="false" ht="30" hidden="false" customHeight="true" outlineLevel="0" collapsed="false">
      <c r="A56" s="16" t="s">
        <v>211</v>
      </c>
      <c r="B56" s="16" t="s">
        <v>45</v>
      </c>
      <c r="C56" s="6" t="s">
        <v>350</v>
      </c>
      <c r="D56" s="30"/>
      <c r="E56" s="15" t="str">
        <f aca="false">IF(D56="","",D56+7)</f>
        <v/>
      </c>
      <c r="F56" s="17"/>
      <c r="G56" s="15" t="str">
        <f aca="false">IF(D56="","",D56+30)</f>
        <v/>
      </c>
      <c r="H56" s="17"/>
      <c r="I56" s="16" t="str">
        <f aca="true">IF(D56="",IF(TODAY()&gt;DATE(2027,3,21),"🔴 Atrasado","⚪ A estudar"),IF(AND(F56&lt;&gt;"✓",TODAY()&gt;=E56),"🟡 Fazer revisão de 7 dias",IF(AND(H56&lt;&gt;"✓",TODAY()&gt;=G56),"🟡 Fazer revisão de 30 dias","🟢 Em dia")))</f>
        <v>⚪ A estudar</v>
      </c>
      <c r="J56" s="31" t="s">
        <v>432</v>
      </c>
    </row>
  </sheetData>
  <conditionalFormatting sqref="I6:I56">
    <cfRule type="expression" priority="2" aboveAverage="0" equalAverage="0" bottom="0" percent="0" rank="0" text="" dxfId="1">
      <formula>LEFT(I6,1)="🟢"</formula>
    </cfRule>
    <cfRule type="expression" priority="3" aboveAverage="0" equalAverage="0" bottom="0" percent="0" rank="0" text="" dxfId="2">
      <formula>LEFT(I6,1)="🟡"</formula>
    </cfRule>
    <cfRule type="expression" priority="4" aboveAverage="0" equalAverage="0" bottom="0" percent="0" rank="0" text="" dxfId="3">
      <formula>LEFT(I6,1)="🔴"</formula>
    </cfRule>
  </conditionalFormatting>
  <conditionalFormatting sqref="F6:F56">
    <cfRule type="cellIs" priority="5" operator="equal" aboveAverage="0" equalAverage="0" bottom="0" percent="0" rank="0" text="" dxfId="1">
      <formula>"✓"</formula>
    </cfRule>
  </conditionalFormatting>
  <conditionalFormatting sqref="H6:H56">
    <cfRule type="cellIs" priority="6" operator="equal" aboveAverage="0" equalAverage="0" bottom="0" percent="0" rank="0" text="" dxfId="1">
      <formula>"✓"</formula>
    </cfRule>
  </conditionalFormatting>
  <dataValidations count="1">
    <dataValidation allowBlank="true" errorStyle="stop" operator="between" showDropDown="false" showErrorMessage="false" showInputMessage="false" sqref="F6:F56 H6:H56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5757"/>
    <pageSetUpPr fitToPage="true"/>
  </sheetPr>
  <dimension ref="A1:H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8"/>
  </cols>
  <sheetData>
    <row r="1" customFormat="false" ht="27.75" hidden="false" customHeight="true" outlineLevel="0" collapsed="false">
      <c r="A1" s="1" t="s">
        <v>433</v>
      </c>
    </row>
    <row r="2" customFormat="false" ht="15" hidden="false" customHeight="false" outlineLevel="0" collapsed="false">
      <c r="A2" s="2" t="s">
        <v>434</v>
      </c>
    </row>
    <row r="4" customFormat="false" ht="22.35" hidden="false" customHeight="false" outlineLevel="0" collapsed="false">
      <c r="A4" s="32" t="s">
        <v>435</v>
      </c>
      <c r="B4" s="32" t="s">
        <v>45</v>
      </c>
      <c r="C4" s="32" t="s">
        <v>436</v>
      </c>
      <c r="D4" s="32" t="s">
        <v>437</v>
      </c>
      <c r="E4" s="32" t="s">
        <v>438</v>
      </c>
      <c r="F4" s="32" t="s">
        <v>439</v>
      </c>
      <c r="G4" s="32" t="s">
        <v>440</v>
      </c>
      <c r="H4" s="32" t="s">
        <v>441</v>
      </c>
    </row>
    <row r="5" customFormat="false" ht="30" hidden="false" customHeight="true" outlineLevel="0" collapsed="false">
      <c r="A5" s="14" t="s">
        <v>30</v>
      </c>
      <c r="B5" s="14" t="s">
        <v>375</v>
      </c>
      <c r="C5" s="14" t="s">
        <v>442</v>
      </c>
      <c r="D5" s="14" t="s">
        <v>443</v>
      </c>
      <c r="E5" s="14" t="s">
        <v>444</v>
      </c>
      <c r="F5" s="14" t="s">
        <v>445</v>
      </c>
      <c r="G5" s="14" t="s">
        <v>446</v>
      </c>
      <c r="H5" s="14" t="s">
        <v>381</v>
      </c>
    </row>
    <row r="6" customFormat="false" ht="15" hidden="false" customHeight="false" outlineLevel="0" collapsed="false">
      <c r="A6" s="30"/>
      <c r="B6" s="17"/>
      <c r="C6" s="18"/>
      <c r="D6" s="18"/>
      <c r="E6" s="18"/>
      <c r="F6" s="15" t="str">
        <f aca="false">IF(A6="","",A6+7)</f>
        <v/>
      </c>
      <c r="G6" s="17"/>
      <c r="H6" s="16" t="str">
        <f aca="true">IF(A6="","",IF(G6="✓","🟢 Revisado",IF(TODAY()&gt;=F6,"🟡 Revisar","Aguardando")))</f>
        <v/>
      </c>
    </row>
    <row r="7" customFormat="false" ht="15" hidden="false" customHeight="false" outlineLevel="0" collapsed="false">
      <c r="A7" s="30"/>
      <c r="B7" s="17"/>
      <c r="C7" s="18"/>
      <c r="D7" s="18"/>
      <c r="E7" s="18"/>
      <c r="F7" s="15" t="str">
        <f aca="false">IF(A7="","",A7+7)</f>
        <v/>
      </c>
      <c r="G7" s="17"/>
      <c r="H7" s="16" t="str">
        <f aca="true">IF(A7="","",IF(G7="✓","🟢 Revisado",IF(TODAY()&gt;=F7,"🟡 Revisar","Aguardando")))</f>
        <v/>
      </c>
    </row>
    <row r="8" customFormat="false" ht="15" hidden="false" customHeight="false" outlineLevel="0" collapsed="false">
      <c r="A8" s="30"/>
      <c r="B8" s="17"/>
      <c r="C8" s="18"/>
      <c r="D8" s="18"/>
      <c r="E8" s="18"/>
      <c r="F8" s="15" t="str">
        <f aca="false">IF(A8="","",A8+7)</f>
        <v/>
      </c>
      <c r="G8" s="17"/>
      <c r="H8" s="16" t="str">
        <f aca="true">IF(A8="","",IF(G8="✓","🟢 Revisado",IF(TODAY()&gt;=F8,"🟡 Revisar","Aguardando")))</f>
        <v/>
      </c>
    </row>
    <row r="9" customFormat="false" ht="15" hidden="false" customHeight="false" outlineLevel="0" collapsed="false">
      <c r="A9" s="30"/>
      <c r="B9" s="17"/>
      <c r="C9" s="18"/>
      <c r="D9" s="18"/>
      <c r="E9" s="18"/>
      <c r="F9" s="15" t="str">
        <f aca="false">IF(A9="","",A9+7)</f>
        <v/>
      </c>
      <c r="G9" s="17"/>
      <c r="H9" s="16" t="str">
        <f aca="true">IF(A9="","",IF(G9="✓","🟢 Revisado",IF(TODAY()&gt;=F9,"🟡 Revisar","Aguardando")))</f>
        <v/>
      </c>
    </row>
    <row r="10" customFormat="false" ht="15" hidden="false" customHeight="false" outlineLevel="0" collapsed="false">
      <c r="A10" s="30"/>
      <c r="B10" s="17"/>
      <c r="C10" s="18"/>
      <c r="D10" s="18"/>
      <c r="E10" s="18"/>
      <c r="F10" s="15" t="str">
        <f aca="false">IF(A10="","",A10+7)</f>
        <v/>
      </c>
      <c r="G10" s="17"/>
      <c r="H10" s="16" t="str">
        <f aca="true">IF(A10="","",IF(G10="✓","🟢 Revisado",IF(TODAY()&gt;=F10,"🟡 Revisar","Aguardando")))</f>
        <v/>
      </c>
    </row>
    <row r="11" customFormat="false" ht="15" hidden="false" customHeight="false" outlineLevel="0" collapsed="false">
      <c r="A11" s="30"/>
      <c r="B11" s="17"/>
      <c r="C11" s="18"/>
      <c r="D11" s="18"/>
      <c r="E11" s="18"/>
      <c r="F11" s="15" t="str">
        <f aca="false">IF(A11="","",A11+7)</f>
        <v/>
      </c>
      <c r="G11" s="17"/>
      <c r="H11" s="16" t="str">
        <f aca="true">IF(A11="","",IF(G11="✓","🟢 Revisado",IF(TODAY()&gt;=F11,"🟡 Revisar","Aguardando")))</f>
        <v/>
      </c>
    </row>
    <row r="12" customFormat="false" ht="15" hidden="false" customHeight="false" outlineLevel="0" collapsed="false">
      <c r="A12" s="30"/>
      <c r="B12" s="17"/>
      <c r="C12" s="18"/>
      <c r="D12" s="18"/>
      <c r="E12" s="18"/>
      <c r="F12" s="15" t="str">
        <f aca="false">IF(A12="","",A12+7)</f>
        <v/>
      </c>
      <c r="G12" s="17"/>
      <c r="H12" s="16" t="str">
        <f aca="true">IF(A12="","",IF(G12="✓","🟢 Revisado",IF(TODAY()&gt;=F12,"🟡 Revisar","Aguardando")))</f>
        <v/>
      </c>
    </row>
    <row r="13" customFormat="false" ht="15" hidden="false" customHeight="false" outlineLevel="0" collapsed="false">
      <c r="A13" s="30"/>
      <c r="B13" s="17"/>
      <c r="C13" s="18"/>
      <c r="D13" s="18"/>
      <c r="E13" s="18"/>
      <c r="F13" s="15" t="str">
        <f aca="false">IF(A13="","",A13+7)</f>
        <v/>
      </c>
      <c r="G13" s="17"/>
      <c r="H13" s="16" t="str">
        <f aca="true">IF(A13="","",IF(G13="✓","🟢 Revisado",IF(TODAY()&gt;=F13,"🟡 Revisar","Aguardando")))</f>
        <v/>
      </c>
    </row>
    <row r="14" customFormat="false" ht="15" hidden="false" customHeight="false" outlineLevel="0" collapsed="false">
      <c r="A14" s="30"/>
      <c r="B14" s="17"/>
      <c r="C14" s="18"/>
      <c r="D14" s="18"/>
      <c r="E14" s="18"/>
      <c r="F14" s="15" t="str">
        <f aca="false">IF(A14="","",A14+7)</f>
        <v/>
      </c>
      <c r="G14" s="17"/>
      <c r="H14" s="16" t="str">
        <f aca="true">IF(A14="","",IF(G14="✓","🟢 Revisado",IF(TODAY()&gt;=F14,"🟡 Revisar","Aguardando")))</f>
        <v/>
      </c>
    </row>
    <row r="15" customFormat="false" ht="15" hidden="false" customHeight="false" outlineLevel="0" collapsed="false">
      <c r="A15" s="30"/>
      <c r="B15" s="17"/>
      <c r="C15" s="18"/>
      <c r="D15" s="18"/>
      <c r="E15" s="18"/>
      <c r="F15" s="15" t="str">
        <f aca="false">IF(A15="","",A15+7)</f>
        <v/>
      </c>
      <c r="G15" s="17"/>
      <c r="H15" s="16" t="str">
        <f aca="true">IF(A15="","",IF(G15="✓","🟢 Revisado",IF(TODAY()&gt;=F15,"🟡 Revisar","Aguardando")))</f>
        <v/>
      </c>
    </row>
    <row r="16" customFormat="false" ht="15" hidden="false" customHeight="false" outlineLevel="0" collapsed="false">
      <c r="A16" s="30"/>
      <c r="B16" s="17"/>
      <c r="C16" s="18"/>
      <c r="D16" s="18"/>
      <c r="E16" s="18"/>
      <c r="F16" s="15" t="str">
        <f aca="false">IF(A16="","",A16+7)</f>
        <v/>
      </c>
      <c r="G16" s="17"/>
      <c r="H16" s="16" t="str">
        <f aca="true">IF(A16="","",IF(G16="✓","🟢 Revisado",IF(TODAY()&gt;=F16,"🟡 Revisar","Aguardando")))</f>
        <v/>
      </c>
    </row>
    <row r="17" customFormat="false" ht="15" hidden="false" customHeight="false" outlineLevel="0" collapsed="false">
      <c r="A17" s="30"/>
      <c r="B17" s="17"/>
      <c r="C17" s="18"/>
      <c r="D17" s="18"/>
      <c r="E17" s="18"/>
      <c r="F17" s="15" t="str">
        <f aca="false">IF(A17="","",A17+7)</f>
        <v/>
      </c>
      <c r="G17" s="17"/>
      <c r="H17" s="16" t="str">
        <f aca="true">IF(A17="","",IF(G17="✓","🟢 Revisado",IF(TODAY()&gt;=F17,"🟡 Revisar","Aguardando")))</f>
        <v/>
      </c>
    </row>
    <row r="18" customFormat="false" ht="15" hidden="false" customHeight="false" outlineLevel="0" collapsed="false">
      <c r="A18" s="30"/>
      <c r="B18" s="17"/>
      <c r="C18" s="18"/>
      <c r="D18" s="18"/>
      <c r="E18" s="18"/>
      <c r="F18" s="15" t="str">
        <f aca="false">IF(A18="","",A18+7)</f>
        <v/>
      </c>
      <c r="G18" s="17"/>
      <c r="H18" s="16" t="str">
        <f aca="true">IF(A18="","",IF(G18="✓","🟢 Revisado",IF(TODAY()&gt;=F18,"🟡 Revisar","Aguardando")))</f>
        <v/>
      </c>
    </row>
    <row r="19" customFormat="false" ht="15" hidden="false" customHeight="false" outlineLevel="0" collapsed="false">
      <c r="A19" s="30"/>
      <c r="B19" s="17"/>
      <c r="C19" s="18"/>
      <c r="D19" s="18"/>
      <c r="E19" s="18"/>
      <c r="F19" s="15" t="str">
        <f aca="false">IF(A19="","",A19+7)</f>
        <v/>
      </c>
      <c r="G19" s="17"/>
      <c r="H19" s="16" t="str">
        <f aca="true">IF(A19="","",IF(G19="✓","🟢 Revisado",IF(TODAY()&gt;=F19,"🟡 Revisar","Aguardando")))</f>
        <v/>
      </c>
    </row>
    <row r="20" customFormat="false" ht="15" hidden="false" customHeight="false" outlineLevel="0" collapsed="false">
      <c r="A20" s="30"/>
      <c r="B20" s="17"/>
      <c r="C20" s="18"/>
      <c r="D20" s="18"/>
      <c r="E20" s="18"/>
      <c r="F20" s="15" t="str">
        <f aca="false">IF(A20="","",A20+7)</f>
        <v/>
      </c>
      <c r="G20" s="17"/>
      <c r="H20" s="16" t="str">
        <f aca="true">IF(A20="","",IF(G20="✓","🟢 Revisado",IF(TODAY()&gt;=F20,"🟡 Revisar","Aguardando")))</f>
        <v/>
      </c>
    </row>
    <row r="21" customFormat="false" ht="15" hidden="false" customHeight="false" outlineLevel="0" collapsed="false">
      <c r="A21" s="30"/>
      <c r="B21" s="17"/>
      <c r="C21" s="18"/>
      <c r="D21" s="18"/>
      <c r="E21" s="18"/>
      <c r="F21" s="15" t="str">
        <f aca="false">IF(A21="","",A21+7)</f>
        <v/>
      </c>
      <c r="G21" s="17"/>
      <c r="H21" s="16" t="str">
        <f aca="true">IF(A21="","",IF(G21="✓","🟢 Revisado",IF(TODAY()&gt;=F21,"🟡 Revisar","Aguardando")))</f>
        <v/>
      </c>
    </row>
    <row r="22" customFormat="false" ht="15" hidden="false" customHeight="false" outlineLevel="0" collapsed="false">
      <c r="A22" s="30"/>
      <c r="B22" s="17"/>
      <c r="C22" s="18"/>
      <c r="D22" s="18"/>
      <c r="E22" s="18"/>
      <c r="F22" s="15" t="str">
        <f aca="false">IF(A22="","",A22+7)</f>
        <v/>
      </c>
      <c r="G22" s="17"/>
      <c r="H22" s="16" t="str">
        <f aca="true">IF(A22="","",IF(G22="✓","🟢 Revisado",IF(TODAY()&gt;=F22,"🟡 Revisar","Aguardando")))</f>
        <v/>
      </c>
    </row>
    <row r="23" customFormat="false" ht="15" hidden="false" customHeight="false" outlineLevel="0" collapsed="false">
      <c r="A23" s="30"/>
      <c r="B23" s="17"/>
      <c r="C23" s="18"/>
      <c r="D23" s="18"/>
      <c r="E23" s="18"/>
      <c r="F23" s="15" t="str">
        <f aca="false">IF(A23="","",A23+7)</f>
        <v/>
      </c>
      <c r="G23" s="17"/>
      <c r="H23" s="16" t="str">
        <f aca="true">IF(A23="","",IF(G23="✓","🟢 Revisado",IF(TODAY()&gt;=F23,"🟡 Revisar","Aguardando")))</f>
        <v/>
      </c>
    </row>
    <row r="24" customFormat="false" ht="15" hidden="false" customHeight="false" outlineLevel="0" collapsed="false">
      <c r="A24" s="30"/>
      <c r="B24" s="17"/>
      <c r="C24" s="18"/>
      <c r="D24" s="18"/>
      <c r="E24" s="18"/>
      <c r="F24" s="15" t="str">
        <f aca="false">IF(A24="","",A24+7)</f>
        <v/>
      </c>
      <c r="G24" s="17"/>
      <c r="H24" s="16" t="str">
        <f aca="true">IF(A24="","",IF(G24="✓","🟢 Revisado",IF(TODAY()&gt;=F24,"🟡 Revisar","Aguardando")))</f>
        <v/>
      </c>
    </row>
    <row r="25" customFormat="false" ht="15" hidden="false" customHeight="false" outlineLevel="0" collapsed="false">
      <c r="A25" s="30"/>
      <c r="B25" s="17"/>
      <c r="C25" s="18"/>
      <c r="D25" s="18"/>
      <c r="E25" s="18"/>
      <c r="F25" s="15" t="str">
        <f aca="false">IF(A25="","",A25+7)</f>
        <v/>
      </c>
      <c r="G25" s="17"/>
      <c r="H25" s="16" t="str">
        <f aca="true">IF(A25="","",IF(G25="✓","🟢 Revisado",IF(TODAY()&gt;=F25,"🟡 Revisar","Aguardando")))</f>
        <v/>
      </c>
    </row>
    <row r="26" customFormat="false" ht="15" hidden="false" customHeight="false" outlineLevel="0" collapsed="false">
      <c r="A26" s="30"/>
      <c r="B26" s="17"/>
      <c r="C26" s="18"/>
      <c r="D26" s="18"/>
      <c r="E26" s="18"/>
      <c r="F26" s="15" t="str">
        <f aca="false">IF(A26="","",A26+7)</f>
        <v/>
      </c>
      <c r="G26" s="17"/>
      <c r="H26" s="16" t="str">
        <f aca="true">IF(A26="","",IF(G26="✓","🟢 Revisado",IF(TODAY()&gt;=F26,"🟡 Revisar","Aguardando")))</f>
        <v/>
      </c>
    </row>
    <row r="27" customFormat="false" ht="15" hidden="false" customHeight="false" outlineLevel="0" collapsed="false">
      <c r="A27" s="30"/>
      <c r="B27" s="17"/>
      <c r="C27" s="18"/>
      <c r="D27" s="18"/>
      <c r="E27" s="18"/>
      <c r="F27" s="15" t="str">
        <f aca="false">IF(A27="","",A27+7)</f>
        <v/>
      </c>
      <c r="G27" s="17"/>
      <c r="H27" s="16" t="str">
        <f aca="true">IF(A27="","",IF(G27="✓","🟢 Revisado",IF(TODAY()&gt;=F27,"🟡 Revisar","Aguardando")))</f>
        <v/>
      </c>
    </row>
    <row r="28" customFormat="false" ht="15" hidden="false" customHeight="false" outlineLevel="0" collapsed="false">
      <c r="A28" s="30"/>
      <c r="B28" s="17"/>
      <c r="C28" s="18"/>
      <c r="D28" s="18"/>
      <c r="E28" s="18"/>
      <c r="F28" s="15" t="str">
        <f aca="false">IF(A28="","",A28+7)</f>
        <v/>
      </c>
      <c r="G28" s="17"/>
      <c r="H28" s="16" t="str">
        <f aca="true">IF(A28="","",IF(G28="✓","🟢 Revisado",IF(TODAY()&gt;=F28,"🟡 Revisar","Aguardando")))</f>
        <v/>
      </c>
    </row>
    <row r="29" customFormat="false" ht="15" hidden="false" customHeight="false" outlineLevel="0" collapsed="false">
      <c r="A29" s="30"/>
      <c r="B29" s="17"/>
      <c r="C29" s="18"/>
      <c r="D29" s="18"/>
      <c r="E29" s="18"/>
      <c r="F29" s="15" t="str">
        <f aca="false">IF(A29="","",A29+7)</f>
        <v/>
      </c>
      <c r="G29" s="17"/>
      <c r="H29" s="16" t="str">
        <f aca="true">IF(A29="","",IF(G29="✓","🟢 Revisado",IF(TODAY()&gt;=F29,"🟡 Revisar","Aguardando")))</f>
        <v/>
      </c>
    </row>
    <row r="30" customFormat="false" ht="15" hidden="false" customHeight="false" outlineLevel="0" collapsed="false">
      <c r="A30" s="30"/>
      <c r="B30" s="17"/>
      <c r="C30" s="18"/>
      <c r="D30" s="18"/>
      <c r="E30" s="18"/>
      <c r="F30" s="15" t="str">
        <f aca="false">IF(A30="","",A30+7)</f>
        <v/>
      </c>
      <c r="G30" s="17"/>
      <c r="H30" s="16" t="str">
        <f aca="true">IF(A30="","",IF(G30="✓","🟢 Revisado",IF(TODAY()&gt;=F30,"🟡 Revisar","Aguardando")))</f>
        <v/>
      </c>
    </row>
    <row r="31" customFormat="false" ht="15" hidden="false" customHeight="false" outlineLevel="0" collapsed="false">
      <c r="A31" s="30"/>
      <c r="B31" s="17"/>
      <c r="C31" s="18"/>
      <c r="D31" s="18"/>
      <c r="E31" s="18"/>
      <c r="F31" s="15" t="str">
        <f aca="false">IF(A31="","",A31+7)</f>
        <v/>
      </c>
      <c r="G31" s="17"/>
      <c r="H31" s="16" t="str">
        <f aca="true">IF(A31="","",IF(G31="✓","🟢 Revisado",IF(TODAY()&gt;=F31,"🟡 Revisar","Aguardando")))</f>
        <v/>
      </c>
    </row>
    <row r="32" customFormat="false" ht="15" hidden="false" customHeight="false" outlineLevel="0" collapsed="false">
      <c r="A32" s="30"/>
      <c r="B32" s="17"/>
      <c r="C32" s="18"/>
      <c r="D32" s="18"/>
      <c r="E32" s="18"/>
      <c r="F32" s="15" t="str">
        <f aca="false">IF(A32="","",A32+7)</f>
        <v/>
      </c>
      <c r="G32" s="17"/>
      <c r="H32" s="16" t="str">
        <f aca="true">IF(A32="","",IF(G32="✓","🟢 Revisado",IF(TODAY()&gt;=F32,"🟡 Revisar","Aguardando")))</f>
        <v/>
      </c>
    </row>
    <row r="33" customFormat="false" ht="15" hidden="false" customHeight="false" outlineLevel="0" collapsed="false">
      <c r="A33" s="30"/>
      <c r="B33" s="17"/>
      <c r="C33" s="18"/>
      <c r="D33" s="18"/>
      <c r="E33" s="18"/>
      <c r="F33" s="15" t="str">
        <f aca="false">IF(A33="","",A33+7)</f>
        <v/>
      </c>
      <c r="G33" s="17"/>
      <c r="H33" s="16" t="str">
        <f aca="true">IF(A33="","",IF(G33="✓","🟢 Revisado",IF(TODAY()&gt;=F33,"🟡 Revisar","Aguardando")))</f>
        <v/>
      </c>
    </row>
    <row r="34" customFormat="false" ht="15" hidden="false" customHeight="false" outlineLevel="0" collapsed="false">
      <c r="A34" s="30"/>
      <c r="B34" s="17"/>
      <c r="C34" s="18"/>
      <c r="D34" s="18"/>
      <c r="E34" s="18"/>
      <c r="F34" s="15" t="str">
        <f aca="false">IF(A34="","",A34+7)</f>
        <v/>
      </c>
      <c r="G34" s="17"/>
      <c r="H34" s="16" t="str">
        <f aca="true">IF(A34="","",IF(G34="✓","🟢 Revisado",IF(TODAY()&gt;=F34,"🟡 Revisar","Aguardando")))</f>
        <v/>
      </c>
    </row>
    <row r="35" customFormat="false" ht="15" hidden="false" customHeight="false" outlineLevel="0" collapsed="false">
      <c r="A35" s="30"/>
      <c r="B35" s="17"/>
      <c r="C35" s="18"/>
      <c r="D35" s="18"/>
      <c r="E35" s="18"/>
      <c r="F35" s="15" t="str">
        <f aca="false">IF(A35="","",A35+7)</f>
        <v/>
      </c>
      <c r="G35" s="17"/>
      <c r="H35" s="16" t="str">
        <f aca="true">IF(A35="","",IF(G35="✓","🟢 Revisado",IF(TODAY()&gt;=F35,"🟡 Revisar","Aguardando")))</f>
        <v/>
      </c>
    </row>
    <row r="36" customFormat="false" ht="15" hidden="false" customHeight="false" outlineLevel="0" collapsed="false">
      <c r="A36" s="30"/>
      <c r="B36" s="17"/>
      <c r="C36" s="18"/>
      <c r="D36" s="18"/>
      <c r="E36" s="18"/>
      <c r="F36" s="15" t="str">
        <f aca="false">IF(A36="","",A36+7)</f>
        <v/>
      </c>
      <c r="G36" s="17"/>
      <c r="H36" s="16" t="str">
        <f aca="true">IF(A36="","",IF(G36="✓","🟢 Revisado",IF(TODAY()&gt;=F36,"🟡 Revisar","Aguardando")))</f>
        <v/>
      </c>
    </row>
    <row r="37" customFormat="false" ht="15" hidden="false" customHeight="false" outlineLevel="0" collapsed="false">
      <c r="A37" s="30"/>
      <c r="B37" s="17"/>
      <c r="C37" s="18"/>
      <c r="D37" s="18"/>
      <c r="E37" s="18"/>
      <c r="F37" s="15" t="str">
        <f aca="false">IF(A37="","",A37+7)</f>
        <v/>
      </c>
      <c r="G37" s="17"/>
      <c r="H37" s="16" t="str">
        <f aca="true">IF(A37="","",IF(G37="✓","🟢 Revisado",IF(TODAY()&gt;=F37,"🟡 Revisar","Aguardando")))</f>
        <v/>
      </c>
    </row>
    <row r="38" customFormat="false" ht="15" hidden="false" customHeight="false" outlineLevel="0" collapsed="false">
      <c r="A38" s="30"/>
      <c r="B38" s="17"/>
      <c r="C38" s="18"/>
      <c r="D38" s="18"/>
      <c r="E38" s="18"/>
      <c r="F38" s="15" t="str">
        <f aca="false">IF(A38="","",A38+7)</f>
        <v/>
      </c>
      <c r="G38" s="17"/>
      <c r="H38" s="16" t="str">
        <f aca="true">IF(A38="","",IF(G38="✓","🟢 Revisado",IF(TODAY()&gt;=F38,"🟡 Revisar","Aguardando")))</f>
        <v/>
      </c>
    </row>
    <row r="39" customFormat="false" ht="15" hidden="false" customHeight="false" outlineLevel="0" collapsed="false">
      <c r="A39" s="30"/>
      <c r="B39" s="17"/>
      <c r="C39" s="18"/>
      <c r="D39" s="18"/>
      <c r="E39" s="18"/>
      <c r="F39" s="15" t="str">
        <f aca="false">IF(A39="","",A39+7)</f>
        <v/>
      </c>
      <c r="G39" s="17"/>
      <c r="H39" s="16" t="str">
        <f aca="true">IF(A39="","",IF(G39="✓","🟢 Revisado",IF(TODAY()&gt;=F39,"🟡 Revisar","Aguardando")))</f>
        <v/>
      </c>
    </row>
    <row r="40" customFormat="false" ht="15" hidden="false" customHeight="false" outlineLevel="0" collapsed="false">
      <c r="A40" s="30"/>
      <c r="B40" s="17"/>
      <c r="C40" s="18"/>
      <c r="D40" s="18"/>
      <c r="E40" s="18"/>
      <c r="F40" s="15" t="str">
        <f aca="false">IF(A40="","",A40+7)</f>
        <v/>
      </c>
      <c r="G40" s="17"/>
      <c r="H40" s="16" t="str">
        <f aca="true">IF(A40="","",IF(G40="✓","🟢 Revisado",IF(TODAY()&gt;=F40,"🟡 Revisar","Aguardando")))</f>
        <v/>
      </c>
    </row>
    <row r="41" customFormat="false" ht="15" hidden="false" customHeight="false" outlineLevel="0" collapsed="false">
      <c r="A41" s="30"/>
      <c r="B41" s="17"/>
      <c r="C41" s="18"/>
      <c r="D41" s="18"/>
      <c r="E41" s="18"/>
      <c r="F41" s="15" t="str">
        <f aca="false">IF(A41="","",A41+7)</f>
        <v/>
      </c>
      <c r="G41" s="17"/>
      <c r="H41" s="16" t="str">
        <f aca="true">IF(A41="","",IF(G41="✓","🟢 Revisado",IF(TODAY()&gt;=F41,"🟡 Revisar","Aguardando")))</f>
        <v/>
      </c>
    </row>
    <row r="42" customFormat="false" ht="15" hidden="false" customHeight="false" outlineLevel="0" collapsed="false">
      <c r="A42" s="30"/>
      <c r="B42" s="17"/>
      <c r="C42" s="18"/>
      <c r="D42" s="18"/>
      <c r="E42" s="18"/>
      <c r="F42" s="15" t="str">
        <f aca="false">IF(A42="","",A42+7)</f>
        <v/>
      </c>
      <c r="G42" s="17"/>
      <c r="H42" s="16" t="str">
        <f aca="true">IF(A42="","",IF(G42="✓","🟢 Revisado",IF(TODAY()&gt;=F42,"🟡 Revisar","Aguardando")))</f>
        <v/>
      </c>
    </row>
    <row r="43" customFormat="false" ht="15" hidden="false" customHeight="false" outlineLevel="0" collapsed="false">
      <c r="A43" s="30"/>
      <c r="B43" s="17"/>
      <c r="C43" s="18"/>
      <c r="D43" s="18"/>
      <c r="E43" s="18"/>
      <c r="F43" s="15" t="str">
        <f aca="false">IF(A43="","",A43+7)</f>
        <v/>
      </c>
      <c r="G43" s="17"/>
      <c r="H43" s="16" t="str">
        <f aca="true">IF(A43="","",IF(G43="✓","🟢 Revisado",IF(TODAY()&gt;=F43,"🟡 Revisar","Aguardando")))</f>
        <v/>
      </c>
    </row>
    <row r="44" customFormat="false" ht="15" hidden="false" customHeight="false" outlineLevel="0" collapsed="false">
      <c r="A44" s="30"/>
      <c r="B44" s="17"/>
      <c r="C44" s="18"/>
      <c r="D44" s="18"/>
      <c r="E44" s="18"/>
      <c r="F44" s="15" t="str">
        <f aca="false">IF(A44="","",A44+7)</f>
        <v/>
      </c>
      <c r="G44" s="17"/>
      <c r="H44" s="16" t="str">
        <f aca="true">IF(A44="","",IF(G44="✓","🟢 Revisado",IF(TODAY()&gt;=F44,"🟡 Revisar","Aguardando")))</f>
        <v/>
      </c>
    </row>
    <row r="45" customFormat="false" ht="15" hidden="false" customHeight="false" outlineLevel="0" collapsed="false">
      <c r="A45" s="30"/>
      <c r="B45" s="17"/>
      <c r="C45" s="18"/>
      <c r="D45" s="18"/>
      <c r="E45" s="18"/>
      <c r="F45" s="15" t="str">
        <f aca="false">IF(A45="","",A45+7)</f>
        <v/>
      </c>
      <c r="G45" s="17"/>
      <c r="H45" s="16" t="str">
        <f aca="true">IF(A45="","",IF(G45="✓","🟢 Revisado",IF(TODAY()&gt;=F45,"🟡 Revisar","Aguardando")))</f>
        <v/>
      </c>
    </row>
    <row r="46" customFormat="false" ht="15" hidden="false" customHeight="false" outlineLevel="0" collapsed="false">
      <c r="A46" s="30"/>
      <c r="B46" s="17"/>
      <c r="C46" s="18"/>
      <c r="D46" s="18"/>
      <c r="E46" s="18"/>
      <c r="F46" s="15" t="str">
        <f aca="false">IF(A46="","",A46+7)</f>
        <v/>
      </c>
      <c r="G46" s="17"/>
      <c r="H46" s="16" t="str">
        <f aca="true">IF(A46="","",IF(G46="✓","🟢 Revisado",IF(TODAY()&gt;=F46,"🟡 Revisar","Aguardando")))</f>
        <v/>
      </c>
    </row>
    <row r="47" customFormat="false" ht="15" hidden="false" customHeight="false" outlineLevel="0" collapsed="false">
      <c r="A47" s="30"/>
      <c r="B47" s="17"/>
      <c r="C47" s="18"/>
      <c r="D47" s="18"/>
      <c r="E47" s="18"/>
      <c r="F47" s="15" t="str">
        <f aca="false">IF(A47="","",A47+7)</f>
        <v/>
      </c>
      <c r="G47" s="17"/>
      <c r="H47" s="16" t="str">
        <f aca="true">IF(A47="","",IF(G47="✓","🟢 Revisado",IF(TODAY()&gt;=F47,"🟡 Revisar","Aguardando")))</f>
        <v/>
      </c>
    </row>
    <row r="48" customFormat="false" ht="15" hidden="false" customHeight="false" outlineLevel="0" collapsed="false">
      <c r="A48" s="30"/>
      <c r="B48" s="17"/>
      <c r="C48" s="18"/>
      <c r="D48" s="18"/>
      <c r="E48" s="18"/>
      <c r="F48" s="15" t="str">
        <f aca="false">IF(A48="","",A48+7)</f>
        <v/>
      </c>
      <c r="G48" s="17"/>
      <c r="H48" s="16" t="str">
        <f aca="true">IF(A48="","",IF(G48="✓","🟢 Revisado",IF(TODAY()&gt;=F48,"🟡 Revisar","Aguardando")))</f>
        <v/>
      </c>
    </row>
    <row r="49" customFormat="false" ht="15" hidden="false" customHeight="false" outlineLevel="0" collapsed="false">
      <c r="A49" s="30"/>
      <c r="B49" s="17"/>
      <c r="C49" s="18"/>
      <c r="D49" s="18"/>
      <c r="E49" s="18"/>
      <c r="F49" s="15" t="str">
        <f aca="false">IF(A49="","",A49+7)</f>
        <v/>
      </c>
      <c r="G49" s="17"/>
      <c r="H49" s="16" t="str">
        <f aca="true">IF(A49="","",IF(G49="✓","🟢 Revisado",IF(TODAY()&gt;=F49,"🟡 Revisar","Aguardando")))</f>
        <v/>
      </c>
    </row>
    <row r="50" customFormat="false" ht="15" hidden="false" customHeight="false" outlineLevel="0" collapsed="false">
      <c r="A50" s="30"/>
      <c r="B50" s="17"/>
      <c r="C50" s="18"/>
      <c r="D50" s="18"/>
      <c r="E50" s="18"/>
      <c r="F50" s="15" t="str">
        <f aca="false">IF(A50="","",A50+7)</f>
        <v/>
      </c>
      <c r="G50" s="17"/>
      <c r="H50" s="16" t="str">
        <f aca="true">IF(A50="","",IF(G50="✓","🟢 Revisado",IF(TODAY()&gt;=F50,"🟡 Revisar","Aguardando")))</f>
        <v/>
      </c>
    </row>
    <row r="51" customFormat="false" ht="15" hidden="false" customHeight="false" outlineLevel="0" collapsed="false">
      <c r="A51" s="30"/>
      <c r="B51" s="17"/>
      <c r="C51" s="18"/>
      <c r="D51" s="18"/>
      <c r="E51" s="18"/>
      <c r="F51" s="15" t="str">
        <f aca="false">IF(A51="","",A51+7)</f>
        <v/>
      </c>
      <c r="G51" s="17"/>
      <c r="H51" s="16" t="str">
        <f aca="true">IF(A51="","",IF(G51="✓","🟢 Revisado",IF(TODAY()&gt;=F51,"🟡 Revisar","Aguardando")))</f>
        <v/>
      </c>
    </row>
    <row r="52" customFormat="false" ht="15" hidden="false" customHeight="false" outlineLevel="0" collapsed="false">
      <c r="A52" s="30"/>
      <c r="B52" s="17"/>
      <c r="C52" s="18"/>
      <c r="D52" s="18"/>
      <c r="E52" s="18"/>
      <c r="F52" s="15" t="str">
        <f aca="false">IF(A52="","",A52+7)</f>
        <v/>
      </c>
      <c r="G52" s="17"/>
      <c r="H52" s="16" t="str">
        <f aca="true">IF(A52="","",IF(G52="✓","🟢 Revisado",IF(TODAY()&gt;=F52,"🟡 Revisar","Aguardando")))</f>
        <v/>
      </c>
    </row>
    <row r="53" customFormat="false" ht="15" hidden="false" customHeight="false" outlineLevel="0" collapsed="false">
      <c r="A53" s="30"/>
      <c r="B53" s="17"/>
      <c r="C53" s="18"/>
      <c r="D53" s="18"/>
      <c r="E53" s="18"/>
      <c r="F53" s="15" t="str">
        <f aca="false">IF(A53="","",A53+7)</f>
        <v/>
      </c>
      <c r="G53" s="17"/>
      <c r="H53" s="16" t="str">
        <f aca="true">IF(A53="","",IF(G53="✓","🟢 Revisado",IF(TODAY()&gt;=F53,"🟡 Revisar","Aguardando")))</f>
        <v/>
      </c>
    </row>
    <row r="54" customFormat="false" ht="15" hidden="false" customHeight="false" outlineLevel="0" collapsed="false">
      <c r="A54" s="30"/>
      <c r="B54" s="17"/>
      <c r="C54" s="18"/>
      <c r="D54" s="18"/>
      <c r="E54" s="18"/>
      <c r="F54" s="15" t="str">
        <f aca="false">IF(A54="","",A54+7)</f>
        <v/>
      </c>
      <c r="G54" s="17"/>
      <c r="H54" s="16" t="str">
        <f aca="true">IF(A54="","",IF(G54="✓","🟢 Revisado",IF(TODAY()&gt;=F54,"🟡 Revisar","Aguardando")))</f>
        <v/>
      </c>
    </row>
    <row r="55" customFormat="false" ht="15" hidden="false" customHeight="false" outlineLevel="0" collapsed="false">
      <c r="A55" s="30"/>
      <c r="B55" s="17"/>
      <c r="C55" s="18"/>
      <c r="D55" s="18"/>
      <c r="E55" s="18"/>
      <c r="F55" s="15" t="str">
        <f aca="false">IF(A55="","",A55+7)</f>
        <v/>
      </c>
      <c r="G55" s="17"/>
      <c r="H55" s="16" t="str">
        <f aca="true">IF(A55="","",IF(G55="✓","🟢 Revisado",IF(TODAY()&gt;=F55,"🟡 Revisar","Aguardando")))</f>
        <v/>
      </c>
    </row>
    <row r="56" customFormat="false" ht="15" hidden="false" customHeight="false" outlineLevel="0" collapsed="false">
      <c r="A56" s="30"/>
      <c r="B56" s="17"/>
      <c r="C56" s="18"/>
      <c r="D56" s="18"/>
      <c r="E56" s="18"/>
      <c r="F56" s="15" t="str">
        <f aca="false">IF(A56="","",A56+7)</f>
        <v/>
      </c>
      <c r="G56" s="17"/>
      <c r="H56" s="16" t="str">
        <f aca="true">IF(A56="","",IF(G56="✓","🟢 Revisado",IF(TODAY()&gt;=F56,"🟡 Revisar","Aguardando")))</f>
        <v/>
      </c>
    </row>
    <row r="57" customFormat="false" ht="15" hidden="false" customHeight="false" outlineLevel="0" collapsed="false">
      <c r="A57" s="30"/>
      <c r="B57" s="17"/>
      <c r="C57" s="18"/>
      <c r="D57" s="18"/>
      <c r="E57" s="18"/>
      <c r="F57" s="15" t="str">
        <f aca="false">IF(A57="","",A57+7)</f>
        <v/>
      </c>
      <c r="G57" s="17"/>
      <c r="H57" s="16" t="str">
        <f aca="true">IF(A57="","",IF(G57="✓","🟢 Revisado",IF(TODAY()&gt;=F57,"🟡 Revisar","Aguardando")))</f>
        <v/>
      </c>
    </row>
    <row r="58" customFormat="false" ht="15" hidden="false" customHeight="false" outlineLevel="0" collapsed="false">
      <c r="A58" s="30"/>
      <c r="B58" s="17"/>
      <c r="C58" s="18"/>
      <c r="D58" s="18"/>
      <c r="E58" s="18"/>
      <c r="F58" s="15" t="str">
        <f aca="false">IF(A58="","",A58+7)</f>
        <v/>
      </c>
      <c r="G58" s="17"/>
      <c r="H58" s="16" t="str">
        <f aca="true">IF(A58="","",IF(G58="✓","🟢 Revisado",IF(TODAY()&gt;=F58,"🟡 Revisar","Aguardando")))</f>
        <v/>
      </c>
    </row>
    <row r="59" customFormat="false" ht="15" hidden="false" customHeight="false" outlineLevel="0" collapsed="false">
      <c r="A59" s="30"/>
      <c r="B59" s="17"/>
      <c r="C59" s="18"/>
      <c r="D59" s="18"/>
      <c r="E59" s="18"/>
      <c r="F59" s="15" t="str">
        <f aca="false">IF(A59="","",A59+7)</f>
        <v/>
      </c>
      <c r="G59" s="17"/>
      <c r="H59" s="16" t="str">
        <f aca="true">IF(A59="","",IF(G59="✓","🟢 Revisado",IF(TODAY()&gt;=F59,"🟡 Revisar","Aguardando")))</f>
        <v/>
      </c>
    </row>
    <row r="60" customFormat="false" ht="15" hidden="false" customHeight="false" outlineLevel="0" collapsed="false">
      <c r="A60" s="30"/>
      <c r="B60" s="17"/>
      <c r="C60" s="18"/>
      <c r="D60" s="18"/>
      <c r="E60" s="18"/>
      <c r="F60" s="15" t="str">
        <f aca="false">IF(A60="","",A60+7)</f>
        <v/>
      </c>
      <c r="G60" s="17"/>
      <c r="H60" s="16" t="str">
        <f aca="true">IF(A60="","",IF(G60="✓","🟢 Revisado",IF(TODAY()&gt;=F60,"🟡 Revisar","Aguardando")))</f>
        <v/>
      </c>
    </row>
    <row r="61" customFormat="false" ht="15" hidden="false" customHeight="false" outlineLevel="0" collapsed="false">
      <c r="A61" s="30"/>
      <c r="B61" s="17"/>
      <c r="C61" s="18"/>
      <c r="D61" s="18"/>
      <c r="E61" s="18"/>
      <c r="F61" s="15" t="str">
        <f aca="false">IF(A61="","",A61+7)</f>
        <v/>
      </c>
      <c r="G61" s="17"/>
      <c r="H61" s="16" t="str">
        <f aca="true">IF(A61="","",IF(G61="✓","🟢 Revisado",IF(TODAY()&gt;=F61,"🟡 Revisar","Aguardando")))</f>
        <v/>
      </c>
    </row>
    <row r="62" customFormat="false" ht="15" hidden="false" customHeight="false" outlineLevel="0" collapsed="false">
      <c r="A62" s="30"/>
      <c r="B62" s="17"/>
      <c r="C62" s="18"/>
      <c r="D62" s="18"/>
      <c r="E62" s="18"/>
      <c r="F62" s="15" t="str">
        <f aca="false">IF(A62="","",A62+7)</f>
        <v/>
      </c>
      <c r="G62" s="17"/>
      <c r="H62" s="16" t="str">
        <f aca="true">IF(A62="","",IF(G62="✓","🟢 Revisado",IF(TODAY()&gt;=F62,"🟡 Revisar","Aguardando")))</f>
        <v/>
      </c>
    </row>
    <row r="63" customFormat="false" ht="15" hidden="false" customHeight="false" outlineLevel="0" collapsed="false">
      <c r="A63" s="30"/>
      <c r="B63" s="17"/>
      <c r="C63" s="18"/>
      <c r="D63" s="18"/>
      <c r="E63" s="18"/>
      <c r="F63" s="15" t="str">
        <f aca="false">IF(A63="","",A63+7)</f>
        <v/>
      </c>
      <c r="G63" s="17"/>
      <c r="H63" s="16" t="str">
        <f aca="true">IF(A63="","",IF(G63="✓","🟢 Revisado",IF(TODAY()&gt;=F63,"🟡 Revisar","Aguardando")))</f>
        <v/>
      </c>
    </row>
    <row r="64" customFormat="false" ht="15" hidden="false" customHeight="false" outlineLevel="0" collapsed="false">
      <c r="A64" s="30"/>
      <c r="B64" s="17"/>
      <c r="C64" s="18"/>
      <c r="D64" s="18"/>
      <c r="E64" s="18"/>
      <c r="F64" s="15" t="str">
        <f aca="false">IF(A64="","",A64+7)</f>
        <v/>
      </c>
      <c r="G64" s="17"/>
      <c r="H64" s="16" t="str">
        <f aca="true">IF(A64="","",IF(G64="✓","🟢 Revisado",IF(TODAY()&gt;=F64,"🟡 Revisar","Aguardando")))</f>
        <v/>
      </c>
    </row>
    <row r="65" customFormat="false" ht="15" hidden="false" customHeight="false" outlineLevel="0" collapsed="false">
      <c r="A65" s="30"/>
      <c r="B65" s="17"/>
      <c r="C65" s="18"/>
      <c r="D65" s="18"/>
      <c r="E65" s="18"/>
      <c r="F65" s="15" t="str">
        <f aca="false">IF(A65="","",A65+7)</f>
        <v/>
      </c>
      <c r="G65" s="17"/>
      <c r="H65" s="16" t="str">
        <f aca="true">IF(A65="","",IF(G65="✓","🟢 Revisado",IF(TODAY()&gt;=F65,"🟡 Revisar","Aguardando")))</f>
        <v/>
      </c>
    </row>
    <row r="66" customFormat="false" ht="15" hidden="false" customHeight="false" outlineLevel="0" collapsed="false">
      <c r="A66" s="30"/>
      <c r="B66" s="17"/>
      <c r="C66" s="18"/>
      <c r="D66" s="18"/>
      <c r="E66" s="18"/>
      <c r="F66" s="15" t="str">
        <f aca="false">IF(A66="","",A66+7)</f>
        <v/>
      </c>
      <c r="G66" s="17"/>
      <c r="H66" s="16" t="str">
        <f aca="true">IF(A66="","",IF(G66="✓","🟢 Revisado",IF(TODAY()&gt;=F66,"🟡 Revisar","Aguardando")))</f>
        <v/>
      </c>
    </row>
    <row r="67" customFormat="false" ht="15" hidden="false" customHeight="false" outlineLevel="0" collapsed="false">
      <c r="A67" s="30"/>
      <c r="B67" s="17"/>
      <c r="C67" s="18"/>
      <c r="D67" s="18"/>
      <c r="E67" s="18"/>
      <c r="F67" s="15" t="str">
        <f aca="false">IF(A67="","",A67+7)</f>
        <v/>
      </c>
      <c r="G67" s="17"/>
      <c r="H67" s="16" t="str">
        <f aca="true">IF(A67="","",IF(G67="✓","🟢 Revisado",IF(TODAY()&gt;=F67,"🟡 Revisar","Aguardando")))</f>
        <v/>
      </c>
    </row>
    <row r="68" customFormat="false" ht="15" hidden="false" customHeight="false" outlineLevel="0" collapsed="false">
      <c r="A68" s="30"/>
      <c r="B68" s="17"/>
      <c r="C68" s="18"/>
      <c r="D68" s="18"/>
      <c r="E68" s="18"/>
      <c r="F68" s="15" t="str">
        <f aca="false">IF(A68="","",A68+7)</f>
        <v/>
      </c>
      <c r="G68" s="17"/>
      <c r="H68" s="16" t="str">
        <f aca="true">IF(A68="","",IF(G68="✓","🟢 Revisado",IF(TODAY()&gt;=F68,"🟡 Revisar","Aguardando")))</f>
        <v/>
      </c>
    </row>
    <row r="69" customFormat="false" ht="15" hidden="false" customHeight="false" outlineLevel="0" collapsed="false">
      <c r="A69" s="30"/>
      <c r="B69" s="17"/>
      <c r="C69" s="18"/>
      <c r="D69" s="18"/>
      <c r="E69" s="18"/>
      <c r="F69" s="15" t="str">
        <f aca="false">IF(A69="","",A69+7)</f>
        <v/>
      </c>
      <c r="G69" s="17"/>
      <c r="H69" s="16" t="str">
        <f aca="true">IF(A69="","",IF(G69="✓","🟢 Revisado",IF(TODAY()&gt;=F69,"🟡 Revisar","Aguardando")))</f>
        <v/>
      </c>
    </row>
    <row r="70" customFormat="false" ht="15" hidden="false" customHeight="false" outlineLevel="0" collapsed="false">
      <c r="A70" s="30"/>
      <c r="B70" s="17"/>
      <c r="C70" s="18"/>
      <c r="D70" s="18"/>
      <c r="E70" s="18"/>
      <c r="F70" s="15" t="str">
        <f aca="false">IF(A70="","",A70+7)</f>
        <v/>
      </c>
      <c r="G70" s="17"/>
      <c r="H70" s="16" t="str">
        <f aca="true">IF(A70="","",IF(G70="✓","🟢 Revisado",IF(TODAY()&gt;=F70,"🟡 Revisar","Aguardando")))</f>
        <v/>
      </c>
    </row>
    <row r="71" customFormat="false" ht="15" hidden="false" customHeight="false" outlineLevel="0" collapsed="false">
      <c r="A71" s="30"/>
      <c r="B71" s="17"/>
      <c r="C71" s="18"/>
      <c r="D71" s="18"/>
      <c r="E71" s="18"/>
      <c r="F71" s="15" t="str">
        <f aca="false">IF(A71="","",A71+7)</f>
        <v/>
      </c>
      <c r="G71" s="17"/>
      <c r="H71" s="16" t="str">
        <f aca="true">IF(A71="","",IF(G71="✓","🟢 Revisado",IF(TODAY()&gt;=F71,"🟡 Revisar","Aguardando")))</f>
        <v/>
      </c>
    </row>
    <row r="72" customFormat="false" ht="15" hidden="false" customHeight="false" outlineLevel="0" collapsed="false">
      <c r="A72" s="30"/>
      <c r="B72" s="17"/>
      <c r="C72" s="18"/>
      <c r="D72" s="18"/>
      <c r="E72" s="18"/>
      <c r="F72" s="15" t="str">
        <f aca="false">IF(A72="","",A72+7)</f>
        <v/>
      </c>
      <c r="G72" s="17"/>
      <c r="H72" s="16" t="str">
        <f aca="true">IF(A72="","",IF(G72="✓","🟢 Revisado",IF(TODAY()&gt;=F72,"🟡 Revisar","Aguardando")))</f>
        <v/>
      </c>
    </row>
    <row r="73" customFormat="false" ht="15" hidden="false" customHeight="false" outlineLevel="0" collapsed="false">
      <c r="A73" s="30"/>
      <c r="B73" s="17"/>
      <c r="C73" s="18"/>
      <c r="D73" s="18"/>
      <c r="E73" s="18"/>
      <c r="F73" s="15" t="str">
        <f aca="false">IF(A73="","",A73+7)</f>
        <v/>
      </c>
      <c r="G73" s="17"/>
      <c r="H73" s="16" t="str">
        <f aca="true">IF(A73="","",IF(G73="✓","🟢 Revisado",IF(TODAY()&gt;=F73,"🟡 Revisar","Aguardando")))</f>
        <v/>
      </c>
    </row>
    <row r="74" customFormat="false" ht="15" hidden="false" customHeight="false" outlineLevel="0" collapsed="false">
      <c r="A74" s="30"/>
      <c r="B74" s="17"/>
      <c r="C74" s="18"/>
      <c r="D74" s="18"/>
      <c r="E74" s="18"/>
      <c r="F74" s="15" t="str">
        <f aca="false">IF(A74="","",A74+7)</f>
        <v/>
      </c>
      <c r="G74" s="17"/>
      <c r="H74" s="16" t="str">
        <f aca="true">IF(A74="","",IF(G74="✓","🟢 Revisado",IF(TODAY()&gt;=F74,"🟡 Revisar","Aguardando")))</f>
        <v/>
      </c>
    </row>
    <row r="75" customFormat="false" ht="15" hidden="false" customHeight="false" outlineLevel="0" collapsed="false">
      <c r="A75" s="30"/>
      <c r="B75" s="17"/>
      <c r="C75" s="18"/>
      <c r="D75" s="18"/>
      <c r="E75" s="18"/>
      <c r="F75" s="15" t="str">
        <f aca="false">IF(A75="","",A75+7)</f>
        <v/>
      </c>
      <c r="G75" s="17"/>
      <c r="H75" s="16" t="str">
        <f aca="true">IF(A75="","",IF(G75="✓","🟢 Revisado",IF(TODAY()&gt;=F75,"🟡 Revisar","Aguardando")))</f>
        <v/>
      </c>
    </row>
    <row r="76" customFormat="false" ht="15" hidden="false" customHeight="false" outlineLevel="0" collapsed="false">
      <c r="A76" s="30"/>
      <c r="B76" s="17"/>
      <c r="C76" s="18"/>
      <c r="D76" s="18"/>
      <c r="E76" s="18"/>
      <c r="F76" s="15" t="str">
        <f aca="false">IF(A76="","",A76+7)</f>
        <v/>
      </c>
      <c r="G76" s="17"/>
      <c r="H76" s="16" t="str">
        <f aca="true">IF(A76="","",IF(G76="✓","🟢 Revisado",IF(TODAY()&gt;=F76,"🟡 Revisar","Aguardando")))</f>
        <v/>
      </c>
    </row>
    <row r="77" customFormat="false" ht="15" hidden="false" customHeight="false" outlineLevel="0" collapsed="false">
      <c r="A77" s="30"/>
      <c r="B77" s="17"/>
      <c r="C77" s="18"/>
      <c r="D77" s="18"/>
      <c r="E77" s="18"/>
      <c r="F77" s="15" t="str">
        <f aca="false">IF(A77="","",A77+7)</f>
        <v/>
      </c>
      <c r="G77" s="17"/>
      <c r="H77" s="16" t="str">
        <f aca="true">IF(A77="","",IF(G77="✓","🟢 Revisado",IF(TODAY()&gt;=F77,"🟡 Revisar","Aguardando")))</f>
        <v/>
      </c>
    </row>
    <row r="78" customFormat="false" ht="15" hidden="false" customHeight="false" outlineLevel="0" collapsed="false">
      <c r="A78" s="30"/>
      <c r="B78" s="17"/>
      <c r="C78" s="18"/>
      <c r="D78" s="18"/>
      <c r="E78" s="18"/>
      <c r="F78" s="15" t="str">
        <f aca="false">IF(A78="","",A78+7)</f>
        <v/>
      </c>
      <c r="G78" s="17"/>
      <c r="H78" s="16" t="str">
        <f aca="true">IF(A78="","",IF(G78="✓","🟢 Revisado",IF(TODAY()&gt;=F78,"🟡 Revisar","Aguardando")))</f>
        <v/>
      </c>
    </row>
    <row r="79" customFormat="false" ht="15" hidden="false" customHeight="false" outlineLevel="0" collapsed="false">
      <c r="A79" s="30"/>
      <c r="B79" s="17"/>
      <c r="C79" s="18"/>
      <c r="D79" s="18"/>
      <c r="E79" s="18"/>
      <c r="F79" s="15" t="str">
        <f aca="false">IF(A79="","",A79+7)</f>
        <v/>
      </c>
      <c r="G79" s="17"/>
      <c r="H79" s="16" t="str">
        <f aca="true">IF(A79="","",IF(G79="✓","🟢 Revisado",IF(TODAY()&gt;=F79,"🟡 Revisar","Aguardando")))</f>
        <v/>
      </c>
    </row>
    <row r="80" customFormat="false" ht="15" hidden="false" customHeight="false" outlineLevel="0" collapsed="false">
      <c r="A80" s="30"/>
      <c r="B80" s="17"/>
      <c r="C80" s="18"/>
      <c r="D80" s="18"/>
      <c r="E80" s="18"/>
      <c r="F80" s="15" t="str">
        <f aca="false">IF(A80="","",A80+7)</f>
        <v/>
      </c>
      <c r="G80" s="17"/>
      <c r="H80" s="16" t="str">
        <f aca="true">IF(A80="","",IF(G80="✓","🟢 Revisado",IF(TODAY()&gt;=F80,"🟡 Revisar","Aguardando")))</f>
        <v/>
      </c>
    </row>
    <row r="81" customFormat="false" ht="15" hidden="false" customHeight="false" outlineLevel="0" collapsed="false">
      <c r="A81" s="30"/>
      <c r="B81" s="17"/>
      <c r="C81" s="18"/>
      <c r="D81" s="18"/>
      <c r="E81" s="18"/>
      <c r="F81" s="15" t="str">
        <f aca="false">IF(A81="","",A81+7)</f>
        <v/>
      </c>
      <c r="G81" s="17"/>
      <c r="H81" s="16" t="str">
        <f aca="true">IF(A81="","",IF(G81="✓","🟢 Revisado",IF(TODAY()&gt;=F81,"🟡 Revisar","Aguardando")))</f>
        <v/>
      </c>
    </row>
    <row r="82" customFormat="false" ht="15" hidden="false" customHeight="false" outlineLevel="0" collapsed="false">
      <c r="A82" s="30"/>
      <c r="B82" s="17"/>
      <c r="C82" s="18"/>
      <c r="D82" s="18"/>
      <c r="E82" s="18"/>
      <c r="F82" s="15" t="str">
        <f aca="false">IF(A82="","",A82+7)</f>
        <v/>
      </c>
      <c r="G82" s="17"/>
      <c r="H82" s="16" t="str">
        <f aca="true">IF(A82="","",IF(G82="✓","🟢 Revisado",IF(TODAY()&gt;=F82,"🟡 Revisar","Aguardando")))</f>
        <v/>
      </c>
    </row>
    <row r="83" customFormat="false" ht="15" hidden="false" customHeight="false" outlineLevel="0" collapsed="false">
      <c r="A83" s="30"/>
      <c r="B83" s="17"/>
      <c r="C83" s="18"/>
      <c r="D83" s="18"/>
      <c r="E83" s="18"/>
      <c r="F83" s="15" t="str">
        <f aca="false">IF(A83="","",A83+7)</f>
        <v/>
      </c>
      <c r="G83" s="17"/>
      <c r="H83" s="16" t="str">
        <f aca="true">IF(A83="","",IF(G83="✓","🟢 Revisado",IF(TODAY()&gt;=F83,"🟡 Revisar","Aguardando")))</f>
        <v/>
      </c>
    </row>
    <row r="84" customFormat="false" ht="15" hidden="false" customHeight="false" outlineLevel="0" collapsed="false">
      <c r="A84" s="30"/>
      <c r="B84" s="17"/>
      <c r="C84" s="18"/>
      <c r="D84" s="18"/>
      <c r="E84" s="18"/>
      <c r="F84" s="15" t="str">
        <f aca="false">IF(A84="","",A84+7)</f>
        <v/>
      </c>
      <c r="G84" s="17"/>
      <c r="H84" s="16" t="str">
        <f aca="true">IF(A84="","",IF(G84="✓","🟢 Revisado",IF(TODAY()&gt;=F84,"🟡 Revisar","Aguardando")))</f>
        <v/>
      </c>
    </row>
    <row r="85" customFormat="false" ht="15" hidden="false" customHeight="false" outlineLevel="0" collapsed="false">
      <c r="A85" s="30"/>
      <c r="B85" s="17"/>
      <c r="C85" s="18"/>
      <c r="D85" s="18"/>
      <c r="E85" s="18"/>
      <c r="F85" s="15" t="str">
        <f aca="false">IF(A85="","",A85+7)</f>
        <v/>
      </c>
      <c r="G85" s="17"/>
      <c r="H85" s="16" t="str">
        <f aca="true">IF(A85="","",IF(G85="✓","🟢 Revisado",IF(TODAY()&gt;=F85,"🟡 Revisar","Aguardando")))</f>
        <v/>
      </c>
    </row>
    <row r="86" customFormat="false" ht="15" hidden="false" customHeight="false" outlineLevel="0" collapsed="false">
      <c r="A86" s="30"/>
      <c r="B86" s="17"/>
      <c r="C86" s="18"/>
      <c r="D86" s="18"/>
      <c r="E86" s="18"/>
      <c r="F86" s="15" t="str">
        <f aca="false">IF(A86="","",A86+7)</f>
        <v/>
      </c>
      <c r="G86" s="17"/>
      <c r="H86" s="16" t="str">
        <f aca="true">IF(A86="","",IF(G86="✓","🟢 Revisado",IF(TODAY()&gt;=F86,"🟡 Revisar","Aguardando")))</f>
        <v/>
      </c>
    </row>
    <row r="87" customFormat="false" ht="15" hidden="false" customHeight="false" outlineLevel="0" collapsed="false">
      <c r="A87" s="30"/>
      <c r="B87" s="17"/>
      <c r="C87" s="18"/>
      <c r="D87" s="18"/>
      <c r="E87" s="18"/>
      <c r="F87" s="15" t="str">
        <f aca="false">IF(A87="","",A87+7)</f>
        <v/>
      </c>
      <c r="G87" s="17"/>
      <c r="H87" s="16" t="str">
        <f aca="true">IF(A87="","",IF(G87="✓","🟢 Revisado",IF(TODAY()&gt;=F87,"🟡 Revisar","Aguardando")))</f>
        <v/>
      </c>
    </row>
    <row r="88" customFormat="false" ht="15" hidden="false" customHeight="false" outlineLevel="0" collapsed="false">
      <c r="A88" s="30"/>
      <c r="B88" s="17"/>
      <c r="C88" s="18"/>
      <c r="D88" s="18"/>
      <c r="E88" s="18"/>
      <c r="F88" s="15" t="str">
        <f aca="false">IF(A88="","",A88+7)</f>
        <v/>
      </c>
      <c r="G88" s="17"/>
      <c r="H88" s="16" t="str">
        <f aca="true">IF(A88="","",IF(G88="✓","🟢 Revisado",IF(TODAY()&gt;=F88,"🟡 Revisar","Aguardando")))</f>
        <v/>
      </c>
    </row>
    <row r="89" customFormat="false" ht="15" hidden="false" customHeight="false" outlineLevel="0" collapsed="false">
      <c r="A89" s="30"/>
      <c r="B89" s="17"/>
      <c r="C89" s="18"/>
      <c r="D89" s="18"/>
      <c r="E89" s="18"/>
      <c r="F89" s="15" t="str">
        <f aca="false">IF(A89="","",A89+7)</f>
        <v/>
      </c>
      <c r="G89" s="17"/>
      <c r="H89" s="16" t="str">
        <f aca="true">IF(A89="","",IF(G89="✓","🟢 Revisado",IF(TODAY()&gt;=F89,"🟡 Revisar","Aguardando")))</f>
        <v/>
      </c>
    </row>
    <row r="90" customFormat="false" ht="15" hidden="false" customHeight="false" outlineLevel="0" collapsed="false">
      <c r="A90" s="30"/>
      <c r="B90" s="17"/>
      <c r="C90" s="18"/>
      <c r="D90" s="18"/>
      <c r="E90" s="18"/>
      <c r="F90" s="15" t="str">
        <f aca="false">IF(A90="","",A90+7)</f>
        <v/>
      </c>
      <c r="G90" s="17"/>
      <c r="H90" s="16" t="str">
        <f aca="true">IF(A90="","",IF(G90="✓","🟢 Revisado",IF(TODAY()&gt;=F90,"🟡 Revisar","Aguardando")))</f>
        <v/>
      </c>
    </row>
    <row r="91" customFormat="false" ht="15" hidden="false" customHeight="false" outlineLevel="0" collapsed="false">
      <c r="A91" s="30"/>
      <c r="B91" s="17"/>
      <c r="C91" s="18"/>
      <c r="D91" s="18"/>
      <c r="E91" s="18"/>
      <c r="F91" s="15" t="str">
        <f aca="false">IF(A91="","",A91+7)</f>
        <v/>
      </c>
      <c r="G91" s="17"/>
      <c r="H91" s="16" t="str">
        <f aca="true">IF(A91="","",IF(G91="✓","🟢 Revisado",IF(TODAY()&gt;=F91,"🟡 Revisar","Aguardando")))</f>
        <v/>
      </c>
    </row>
    <row r="92" customFormat="false" ht="15" hidden="false" customHeight="false" outlineLevel="0" collapsed="false">
      <c r="A92" s="30"/>
      <c r="B92" s="17"/>
      <c r="C92" s="18"/>
      <c r="D92" s="18"/>
      <c r="E92" s="18"/>
      <c r="F92" s="15" t="str">
        <f aca="false">IF(A92="","",A92+7)</f>
        <v/>
      </c>
      <c r="G92" s="17"/>
      <c r="H92" s="16" t="str">
        <f aca="true">IF(A92="","",IF(G92="✓","🟢 Revisado",IF(TODAY()&gt;=F92,"🟡 Revisar","Aguardando")))</f>
        <v/>
      </c>
    </row>
    <row r="93" customFormat="false" ht="15" hidden="false" customHeight="false" outlineLevel="0" collapsed="false">
      <c r="A93" s="30"/>
      <c r="B93" s="17"/>
      <c r="C93" s="18"/>
      <c r="D93" s="18"/>
      <c r="E93" s="18"/>
      <c r="F93" s="15" t="str">
        <f aca="false">IF(A93="","",A93+7)</f>
        <v/>
      </c>
      <c r="G93" s="17"/>
      <c r="H93" s="16" t="str">
        <f aca="true">IF(A93="","",IF(G93="✓","🟢 Revisado",IF(TODAY()&gt;=F93,"🟡 Revisar","Aguardando")))</f>
        <v/>
      </c>
    </row>
    <row r="94" customFormat="false" ht="15" hidden="false" customHeight="false" outlineLevel="0" collapsed="false">
      <c r="A94" s="30"/>
      <c r="B94" s="17"/>
      <c r="C94" s="18"/>
      <c r="D94" s="18"/>
      <c r="E94" s="18"/>
      <c r="F94" s="15" t="str">
        <f aca="false">IF(A94="","",A94+7)</f>
        <v/>
      </c>
      <c r="G94" s="17"/>
      <c r="H94" s="16" t="str">
        <f aca="true">IF(A94="","",IF(G94="✓","🟢 Revisado",IF(TODAY()&gt;=F94,"🟡 Revisar","Aguardando")))</f>
        <v/>
      </c>
    </row>
    <row r="95" customFormat="false" ht="15" hidden="false" customHeight="false" outlineLevel="0" collapsed="false">
      <c r="A95" s="30"/>
      <c r="B95" s="17"/>
      <c r="C95" s="18"/>
      <c r="D95" s="18"/>
      <c r="E95" s="18"/>
      <c r="F95" s="15" t="str">
        <f aca="false">IF(A95="","",A95+7)</f>
        <v/>
      </c>
      <c r="G95" s="17"/>
      <c r="H95" s="16" t="str">
        <f aca="true">IF(A95="","",IF(G95="✓","🟢 Revisado",IF(TODAY()&gt;=F95,"🟡 Revisar","Aguardando")))</f>
        <v/>
      </c>
    </row>
    <row r="96" customFormat="false" ht="15" hidden="false" customHeight="false" outlineLevel="0" collapsed="false">
      <c r="A96" s="30"/>
      <c r="B96" s="17"/>
      <c r="C96" s="18"/>
      <c r="D96" s="18"/>
      <c r="E96" s="18"/>
      <c r="F96" s="15" t="str">
        <f aca="false">IF(A96="","",A96+7)</f>
        <v/>
      </c>
      <c r="G96" s="17"/>
      <c r="H96" s="16" t="str">
        <f aca="true">IF(A96="","",IF(G96="✓","🟢 Revisado",IF(TODAY()&gt;=F96,"🟡 Revisar","Aguardando")))</f>
        <v/>
      </c>
    </row>
    <row r="97" customFormat="false" ht="15" hidden="false" customHeight="false" outlineLevel="0" collapsed="false">
      <c r="A97" s="30"/>
      <c r="B97" s="17"/>
      <c r="C97" s="18"/>
      <c r="D97" s="18"/>
      <c r="E97" s="18"/>
      <c r="F97" s="15" t="str">
        <f aca="false">IF(A97="","",A97+7)</f>
        <v/>
      </c>
      <c r="G97" s="17"/>
      <c r="H97" s="16" t="str">
        <f aca="true">IF(A97="","",IF(G97="✓","🟢 Revisado",IF(TODAY()&gt;=F97,"🟡 Revisar","Aguardando")))</f>
        <v/>
      </c>
    </row>
    <row r="98" customFormat="false" ht="15" hidden="false" customHeight="false" outlineLevel="0" collapsed="false">
      <c r="A98" s="30"/>
      <c r="B98" s="17"/>
      <c r="C98" s="18"/>
      <c r="D98" s="18"/>
      <c r="E98" s="18"/>
      <c r="F98" s="15" t="str">
        <f aca="false">IF(A98="","",A98+7)</f>
        <v/>
      </c>
      <c r="G98" s="17"/>
      <c r="H98" s="16" t="str">
        <f aca="true">IF(A98="","",IF(G98="✓","🟢 Revisado",IF(TODAY()&gt;=F98,"🟡 Revisar","Aguardando")))</f>
        <v/>
      </c>
    </row>
    <row r="99" customFormat="false" ht="15" hidden="false" customHeight="false" outlineLevel="0" collapsed="false">
      <c r="A99" s="30"/>
      <c r="B99" s="17"/>
      <c r="C99" s="18"/>
      <c r="D99" s="18"/>
      <c r="E99" s="18"/>
      <c r="F99" s="15" t="str">
        <f aca="false">IF(A99="","",A99+7)</f>
        <v/>
      </c>
      <c r="G99" s="17"/>
      <c r="H99" s="16" t="str">
        <f aca="true">IF(A99="","",IF(G99="✓","🟢 Revisado",IF(TODAY()&gt;=F99,"🟡 Revisar","Aguardando")))</f>
        <v/>
      </c>
    </row>
    <row r="100" customFormat="false" ht="15" hidden="false" customHeight="false" outlineLevel="0" collapsed="false">
      <c r="A100" s="30"/>
      <c r="B100" s="17"/>
      <c r="C100" s="18"/>
      <c r="D100" s="18"/>
      <c r="E100" s="18"/>
      <c r="F100" s="15" t="str">
        <f aca="false">IF(A100="","",A100+7)</f>
        <v/>
      </c>
      <c r="G100" s="17"/>
      <c r="H100" s="16" t="str">
        <f aca="true">IF(A100="","",IF(G100="✓","🟢 Revisado",IF(TODAY()&gt;=F100,"🟡 Revisar","Aguardando")))</f>
        <v/>
      </c>
    </row>
    <row r="101" customFormat="false" ht="15" hidden="false" customHeight="false" outlineLevel="0" collapsed="false">
      <c r="A101" s="30"/>
      <c r="B101" s="17"/>
      <c r="C101" s="18"/>
      <c r="D101" s="18"/>
      <c r="E101" s="18"/>
      <c r="F101" s="15" t="str">
        <f aca="false">IF(A101="","",A101+7)</f>
        <v/>
      </c>
      <c r="G101" s="17"/>
      <c r="H101" s="16" t="str">
        <f aca="true">IF(A101="","",IF(G101="✓","🟢 Revisado",IF(TODAY()&gt;=F101,"🟡 Revisar","Aguardando")))</f>
        <v/>
      </c>
    </row>
    <row r="102" customFormat="false" ht="15" hidden="false" customHeight="false" outlineLevel="0" collapsed="false">
      <c r="A102" s="30"/>
      <c r="B102" s="17"/>
      <c r="C102" s="18"/>
      <c r="D102" s="18"/>
      <c r="E102" s="18"/>
      <c r="F102" s="15" t="str">
        <f aca="false">IF(A102="","",A102+7)</f>
        <v/>
      </c>
      <c r="G102" s="17"/>
      <c r="H102" s="16" t="str">
        <f aca="true">IF(A102="","",IF(G102="✓","🟢 Revisado",IF(TODAY()&gt;=F102,"🟡 Revisar","Aguardando")))</f>
        <v/>
      </c>
    </row>
    <row r="103" customFormat="false" ht="15" hidden="false" customHeight="false" outlineLevel="0" collapsed="false">
      <c r="A103" s="30"/>
      <c r="B103" s="17"/>
      <c r="C103" s="18"/>
      <c r="D103" s="18"/>
      <c r="E103" s="18"/>
      <c r="F103" s="15" t="str">
        <f aca="false">IF(A103="","",A103+7)</f>
        <v/>
      </c>
      <c r="G103" s="17"/>
      <c r="H103" s="16" t="str">
        <f aca="true">IF(A103="","",IF(G103="✓","🟢 Revisado",IF(TODAY()&gt;=F103,"🟡 Revisar","Aguardando")))</f>
        <v/>
      </c>
    </row>
    <row r="104" customFormat="false" ht="15" hidden="false" customHeight="false" outlineLevel="0" collapsed="false">
      <c r="A104" s="30"/>
      <c r="B104" s="17"/>
      <c r="C104" s="18"/>
      <c r="D104" s="18"/>
      <c r="E104" s="18"/>
      <c r="F104" s="15" t="str">
        <f aca="false">IF(A104="","",A104+7)</f>
        <v/>
      </c>
      <c r="G104" s="17"/>
      <c r="H104" s="16" t="str">
        <f aca="true">IF(A104="","",IF(G104="✓","🟢 Revisado",IF(TODAY()&gt;=F104,"🟡 Revisar","Aguardando")))</f>
        <v/>
      </c>
    </row>
    <row r="105" customFormat="false" ht="15" hidden="false" customHeight="false" outlineLevel="0" collapsed="false">
      <c r="A105" s="30"/>
      <c r="B105" s="17"/>
      <c r="C105" s="18"/>
      <c r="D105" s="18"/>
      <c r="E105" s="18"/>
      <c r="F105" s="15" t="str">
        <f aca="false">IF(A105="","",A105+7)</f>
        <v/>
      </c>
      <c r="G105" s="17"/>
      <c r="H105" s="16" t="str">
        <f aca="true">IF(A105="","",IF(G105="✓","🟢 Revisado",IF(TODAY()&gt;=F105,"🟡 Revisar","Aguardando")))</f>
        <v/>
      </c>
    </row>
    <row r="106" customFormat="false" ht="15" hidden="false" customHeight="false" outlineLevel="0" collapsed="false">
      <c r="A106" s="30"/>
      <c r="B106" s="17"/>
      <c r="C106" s="18"/>
      <c r="D106" s="18"/>
      <c r="E106" s="18"/>
      <c r="F106" s="15" t="str">
        <f aca="false">IF(A106="","",A106+7)</f>
        <v/>
      </c>
      <c r="G106" s="17"/>
      <c r="H106" s="16" t="str">
        <f aca="true">IF(A106="","",IF(G106="✓","🟢 Revisado",IF(TODAY()&gt;=F106,"🟡 Revisar","Aguardando")))</f>
        <v/>
      </c>
    </row>
    <row r="107" customFormat="false" ht="15" hidden="false" customHeight="false" outlineLevel="0" collapsed="false">
      <c r="A107" s="30"/>
      <c r="B107" s="17"/>
      <c r="C107" s="18"/>
      <c r="D107" s="18"/>
      <c r="E107" s="18"/>
      <c r="F107" s="15" t="str">
        <f aca="false">IF(A107="","",A107+7)</f>
        <v/>
      </c>
      <c r="G107" s="17"/>
      <c r="H107" s="16" t="str">
        <f aca="true">IF(A107="","",IF(G107="✓","🟢 Revisado",IF(TODAY()&gt;=F107,"🟡 Revisar","Aguardando")))</f>
        <v/>
      </c>
    </row>
    <row r="108" customFormat="false" ht="15" hidden="false" customHeight="false" outlineLevel="0" collapsed="false">
      <c r="A108" s="30"/>
      <c r="B108" s="17"/>
      <c r="C108" s="18"/>
      <c r="D108" s="18"/>
      <c r="E108" s="18"/>
      <c r="F108" s="15" t="str">
        <f aca="false">IF(A108="","",A108+7)</f>
        <v/>
      </c>
      <c r="G108" s="17"/>
      <c r="H108" s="16" t="str">
        <f aca="true">IF(A108="","",IF(G108="✓","🟢 Revisado",IF(TODAY()&gt;=F108,"🟡 Revisar","Aguardando")))</f>
        <v/>
      </c>
    </row>
    <row r="109" customFormat="false" ht="15" hidden="false" customHeight="false" outlineLevel="0" collapsed="false">
      <c r="A109" s="30"/>
      <c r="B109" s="17"/>
      <c r="C109" s="18"/>
      <c r="D109" s="18"/>
      <c r="E109" s="18"/>
      <c r="F109" s="15" t="str">
        <f aca="false">IF(A109="","",A109+7)</f>
        <v/>
      </c>
      <c r="G109" s="17"/>
      <c r="H109" s="16" t="str">
        <f aca="true">IF(A109="","",IF(G109="✓","🟢 Revisado",IF(TODAY()&gt;=F109,"🟡 Revisar","Aguardando")))</f>
        <v/>
      </c>
    </row>
    <row r="110" customFormat="false" ht="15" hidden="false" customHeight="false" outlineLevel="0" collapsed="false">
      <c r="A110" s="30"/>
      <c r="B110" s="17"/>
      <c r="C110" s="18"/>
      <c r="D110" s="18"/>
      <c r="E110" s="18"/>
      <c r="F110" s="15" t="str">
        <f aca="false">IF(A110="","",A110+7)</f>
        <v/>
      </c>
      <c r="G110" s="17"/>
      <c r="H110" s="16" t="str">
        <f aca="true">IF(A110="","",IF(G110="✓","🟢 Revisado",IF(TODAY()&gt;=F110,"🟡 Revisar","Aguardando")))</f>
        <v/>
      </c>
    </row>
    <row r="111" customFormat="false" ht="15" hidden="false" customHeight="false" outlineLevel="0" collapsed="false">
      <c r="A111" s="30"/>
      <c r="B111" s="17"/>
      <c r="C111" s="18"/>
      <c r="D111" s="18"/>
      <c r="E111" s="18"/>
      <c r="F111" s="15" t="str">
        <f aca="false">IF(A111="","",A111+7)</f>
        <v/>
      </c>
      <c r="G111" s="17"/>
      <c r="H111" s="16" t="str">
        <f aca="true">IF(A111="","",IF(G111="✓","🟢 Revisado",IF(TODAY()&gt;=F111,"🟡 Revisar","Aguardando")))</f>
        <v/>
      </c>
    </row>
    <row r="112" customFormat="false" ht="15" hidden="false" customHeight="false" outlineLevel="0" collapsed="false">
      <c r="A112" s="30"/>
      <c r="B112" s="17"/>
      <c r="C112" s="18"/>
      <c r="D112" s="18"/>
      <c r="E112" s="18"/>
      <c r="F112" s="15" t="str">
        <f aca="false">IF(A112="","",A112+7)</f>
        <v/>
      </c>
      <c r="G112" s="17"/>
      <c r="H112" s="16" t="str">
        <f aca="true">IF(A112="","",IF(G112="✓","🟢 Revisado",IF(TODAY()&gt;=F112,"🟡 Revisar","Aguardando")))</f>
        <v/>
      </c>
    </row>
    <row r="113" customFormat="false" ht="15" hidden="false" customHeight="false" outlineLevel="0" collapsed="false">
      <c r="A113" s="30"/>
      <c r="B113" s="17"/>
      <c r="C113" s="18"/>
      <c r="D113" s="18"/>
      <c r="E113" s="18"/>
      <c r="F113" s="15" t="str">
        <f aca="false">IF(A113="","",A113+7)</f>
        <v/>
      </c>
      <c r="G113" s="17"/>
      <c r="H113" s="16" t="str">
        <f aca="true">IF(A113="","",IF(G113="✓","🟢 Revisado",IF(TODAY()&gt;=F113,"🟡 Revisar","Aguardando")))</f>
        <v/>
      </c>
    </row>
    <row r="114" customFormat="false" ht="15" hidden="false" customHeight="false" outlineLevel="0" collapsed="false">
      <c r="A114" s="30"/>
      <c r="B114" s="17"/>
      <c r="C114" s="18"/>
      <c r="D114" s="18"/>
      <c r="E114" s="18"/>
      <c r="F114" s="15" t="str">
        <f aca="false">IF(A114="","",A114+7)</f>
        <v/>
      </c>
      <c r="G114" s="17"/>
      <c r="H114" s="16" t="str">
        <f aca="true">IF(A114="","",IF(G114="✓","🟢 Revisado",IF(TODAY()&gt;=F114,"🟡 Revisar","Aguardando")))</f>
        <v/>
      </c>
    </row>
    <row r="115" customFormat="false" ht="15" hidden="false" customHeight="false" outlineLevel="0" collapsed="false">
      <c r="A115" s="30"/>
      <c r="B115" s="17"/>
      <c r="C115" s="18"/>
      <c r="D115" s="18"/>
      <c r="E115" s="18"/>
      <c r="F115" s="15" t="str">
        <f aca="false">IF(A115="","",A115+7)</f>
        <v/>
      </c>
      <c r="G115" s="17"/>
      <c r="H115" s="16" t="str">
        <f aca="true">IF(A115="","",IF(G115="✓","🟢 Revisado",IF(TODAY()&gt;=F115,"🟡 Revisar","Aguardando")))</f>
        <v/>
      </c>
    </row>
    <row r="116" customFormat="false" ht="15" hidden="false" customHeight="false" outlineLevel="0" collapsed="false">
      <c r="A116" s="30"/>
      <c r="B116" s="17"/>
      <c r="C116" s="18"/>
      <c r="D116" s="18"/>
      <c r="E116" s="18"/>
      <c r="F116" s="15" t="str">
        <f aca="false">IF(A116="","",A116+7)</f>
        <v/>
      </c>
      <c r="G116" s="17"/>
      <c r="H116" s="16" t="str">
        <f aca="true">IF(A116="","",IF(G116="✓","🟢 Revisado",IF(TODAY()&gt;=F116,"🟡 Revisar","Aguardando")))</f>
        <v/>
      </c>
    </row>
    <row r="117" customFormat="false" ht="15" hidden="false" customHeight="false" outlineLevel="0" collapsed="false">
      <c r="A117" s="30"/>
      <c r="B117" s="17"/>
      <c r="C117" s="18"/>
      <c r="D117" s="18"/>
      <c r="E117" s="18"/>
      <c r="F117" s="15" t="str">
        <f aca="false">IF(A117="","",A117+7)</f>
        <v/>
      </c>
      <c r="G117" s="17"/>
      <c r="H117" s="16" t="str">
        <f aca="true">IF(A117="","",IF(G117="✓","🟢 Revisado",IF(TODAY()&gt;=F117,"🟡 Revisar","Aguardando")))</f>
        <v/>
      </c>
    </row>
    <row r="118" customFormat="false" ht="15" hidden="false" customHeight="false" outlineLevel="0" collapsed="false">
      <c r="A118" s="30"/>
      <c r="B118" s="17"/>
      <c r="C118" s="18"/>
      <c r="D118" s="18"/>
      <c r="E118" s="18"/>
      <c r="F118" s="15" t="str">
        <f aca="false">IF(A118="","",A118+7)</f>
        <v/>
      </c>
      <c r="G118" s="17"/>
      <c r="H118" s="16" t="str">
        <f aca="true">IF(A118="","",IF(G118="✓","🟢 Revisado",IF(TODAY()&gt;=F118,"🟡 Revisar","Aguardando")))</f>
        <v/>
      </c>
    </row>
    <row r="119" customFormat="false" ht="15" hidden="false" customHeight="false" outlineLevel="0" collapsed="false">
      <c r="A119" s="30"/>
      <c r="B119" s="17"/>
      <c r="C119" s="18"/>
      <c r="D119" s="18"/>
      <c r="E119" s="18"/>
      <c r="F119" s="15" t="str">
        <f aca="false">IF(A119="","",A119+7)</f>
        <v/>
      </c>
      <c r="G119" s="17"/>
      <c r="H119" s="16" t="str">
        <f aca="true">IF(A119="","",IF(G119="✓","🟢 Revisado",IF(TODAY()&gt;=F119,"🟡 Revisar","Aguardando")))</f>
        <v/>
      </c>
    </row>
    <row r="120" customFormat="false" ht="15" hidden="false" customHeight="false" outlineLevel="0" collapsed="false">
      <c r="A120" s="30"/>
      <c r="B120" s="17"/>
      <c r="C120" s="18"/>
      <c r="D120" s="18"/>
      <c r="E120" s="18"/>
      <c r="F120" s="15" t="str">
        <f aca="false">IF(A120="","",A120+7)</f>
        <v/>
      </c>
      <c r="G120" s="17"/>
      <c r="H120" s="16" t="str">
        <f aca="true">IF(A120="","",IF(G120="✓","🟢 Revisado",IF(TODAY()&gt;=F120,"🟡 Revisar","Aguardando")))</f>
        <v/>
      </c>
    </row>
    <row r="121" customFormat="false" ht="15" hidden="false" customHeight="false" outlineLevel="0" collapsed="false">
      <c r="A121" s="30"/>
      <c r="B121" s="17"/>
      <c r="C121" s="18"/>
      <c r="D121" s="18"/>
      <c r="E121" s="18"/>
      <c r="F121" s="15" t="str">
        <f aca="false">IF(A121="","",A121+7)</f>
        <v/>
      </c>
      <c r="G121" s="17"/>
      <c r="H121" s="16" t="str">
        <f aca="true">IF(A121="","",IF(G121="✓","🟢 Revisado",IF(TODAY()&gt;=F121,"🟡 Revisar","Aguardando")))</f>
        <v/>
      </c>
    </row>
    <row r="122" customFormat="false" ht="15" hidden="false" customHeight="false" outlineLevel="0" collapsed="false">
      <c r="A122" s="30"/>
      <c r="B122" s="17"/>
      <c r="C122" s="18"/>
      <c r="D122" s="18"/>
      <c r="E122" s="18"/>
      <c r="F122" s="15" t="str">
        <f aca="false">IF(A122="","",A122+7)</f>
        <v/>
      </c>
      <c r="G122" s="17"/>
      <c r="H122" s="16" t="str">
        <f aca="true">IF(A122="","",IF(G122="✓","🟢 Revisado",IF(TODAY()&gt;=F122,"🟡 Revisar","Aguardando")))</f>
        <v/>
      </c>
    </row>
    <row r="123" customFormat="false" ht="15" hidden="false" customHeight="false" outlineLevel="0" collapsed="false">
      <c r="A123" s="30"/>
      <c r="B123" s="17"/>
      <c r="C123" s="18"/>
      <c r="D123" s="18"/>
      <c r="E123" s="18"/>
      <c r="F123" s="15" t="str">
        <f aca="false">IF(A123="","",A123+7)</f>
        <v/>
      </c>
      <c r="G123" s="17"/>
      <c r="H123" s="16" t="str">
        <f aca="true">IF(A123="","",IF(G123="✓","🟢 Revisado",IF(TODAY()&gt;=F123,"🟡 Revisar","Aguardando")))</f>
        <v/>
      </c>
    </row>
    <row r="124" customFormat="false" ht="15" hidden="false" customHeight="false" outlineLevel="0" collapsed="false">
      <c r="A124" s="30"/>
      <c r="B124" s="17"/>
      <c r="C124" s="18"/>
      <c r="D124" s="18"/>
      <c r="E124" s="18"/>
      <c r="F124" s="15" t="str">
        <f aca="false">IF(A124="","",A124+7)</f>
        <v/>
      </c>
      <c r="G124" s="17"/>
      <c r="H124" s="16" t="str">
        <f aca="true">IF(A124="","",IF(G124="✓","🟢 Revisado",IF(TODAY()&gt;=F124,"🟡 Revisar","Aguardando")))</f>
        <v/>
      </c>
    </row>
    <row r="125" customFormat="false" ht="15" hidden="false" customHeight="false" outlineLevel="0" collapsed="false">
      <c r="A125" s="30"/>
      <c r="B125" s="17"/>
      <c r="C125" s="18"/>
      <c r="D125" s="18"/>
      <c r="E125" s="18"/>
      <c r="F125" s="15" t="str">
        <f aca="false">IF(A125="","",A125+7)</f>
        <v/>
      </c>
      <c r="G125" s="17"/>
      <c r="H125" s="16" t="str">
        <f aca="true">IF(A125="","",IF(G125="✓","🟢 Revisado",IF(TODAY()&gt;=F125,"🟡 Revisar","Aguardando")))</f>
        <v/>
      </c>
    </row>
    <row r="126" customFormat="false" ht="15" hidden="false" customHeight="false" outlineLevel="0" collapsed="false">
      <c r="A126" s="30"/>
      <c r="B126" s="17"/>
      <c r="C126" s="18"/>
      <c r="D126" s="18"/>
      <c r="E126" s="18"/>
      <c r="F126" s="15" t="str">
        <f aca="false">IF(A126="","",A126+7)</f>
        <v/>
      </c>
      <c r="G126" s="17"/>
      <c r="H126" s="16" t="str">
        <f aca="true">IF(A126="","",IF(G126="✓","🟢 Revisado",IF(TODAY()&gt;=F126,"🟡 Revisar","Aguardando")))</f>
        <v/>
      </c>
    </row>
    <row r="127" customFormat="false" ht="15" hidden="false" customHeight="false" outlineLevel="0" collapsed="false">
      <c r="A127" s="30"/>
      <c r="B127" s="17"/>
      <c r="C127" s="18"/>
      <c r="D127" s="18"/>
      <c r="E127" s="18"/>
      <c r="F127" s="15" t="str">
        <f aca="false">IF(A127="","",A127+7)</f>
        <v/>
      </c>
      <c r="G127" s="17"/>
      <c r="H127" s="16" t="str">
        <f aca="true">IF(A127="","",IF(G127="✓","🟢 Revisado",IF(TODAY()&gt;=F127,"🟡 Revisar","Aguardando")))</f>
        <v/>
      </c>
    </row>
    <row r="128" customFormat="false" ht="15" hidden="false" customHeight="false" outlineLevel="0" collapsed="false">
      <c r="A128" s="30"/>
      <c r="B128" s="17"/>
      <c r="C128" s="18"/>
      <c r="D128" s="18"/>
      <c r="E128" s="18"/>
      <c r="F128" s="15" t="str">
        <f aca="false">IF(A128="","",A128+7)</f>
        <v/>
      </c>
      <c r="G128" s="17"/>
      <c r="H128" s="16" t="str">
        <f aca="true">IF(A128="","",IF(G128="✓","🟢 Revisado",IF(TODAY()&gt;=F128,"🟡 Revisar","Aguardando")))</f>
        <v/>
      </c>
    </row>
    <row r="129" customFormat="false" ht="15" hidden="false" customHeight="false" outlineLevel="0" collapsed="false">
      <c r="A129" s="30"/>
      <c r="B129" s="17"/>
      <c r="C129" s="18"/>
      <c r="D129" s="18"/>
      <c r="E129" s="18"/>
      <c r="F129" s="15" t="str">
        <f aca="false">IF(A129="","",A129+7)</f>
        <v/>
      </c>
      <c r="G129" s="17"/>
      <c r="H129" s="16" t="str">
        <f aca="true">IF(A129="","",IF(G129="✓","🟢 Revisado",IF(TODAY()&gt;=F129,"🟡 Revisar","Aguardando")))</f>
        <v/>
      </c>
    </row>
    <row r="130" customFormat="false" ht="15" hidden="false" customHeight="false" outlineLevel="0" collapsed="false">
      <c r="A130" s="30"/>
      <c r="B130" s="17"/>
      <c r="C130" s="18"/>
      <c r="D130" s="18"/>
      <c r="E130" s="18"/>
      <c r="F130" s="15" t="str">
        <f aca="false">IF(A130="","",A130+7)</f>
        <v/>
      </c>
      <c r="G130" s="17"/>
      <c r="H130" s="16" t="str">
        <f aca="true">IF(A130="","",IF(G130="✓","🟢 Revisado",IF(TODAY()&gt;=F130,"🟡 Revisar","Aguardando")))</f>
        <v/>
      </c>
    </row>
    <row r="131" customFormat="false" ht="15" hidden="false" customHeight="false" outlineLevel="0" collapsed="false">
      <c r="A131" s="30"/>
      <c r="B131" s="17"/>
      <c r="C131" s="18"/>
      <c r="D131" s="18"/>
      <c r="E131" s="18"/>
      <c r="F131" s="15" t="str">
        <f aca="false">IF(A131="","",A131+7)</f>
        <v/>
      </c>
      <c r="G131" s="17"/>
      <c r="H131" s="16" t="str">
        <f aca="true">IF(A131="","",IF(G131="✓","🟢 Revisado",IF(TODAY()&gt;=F131,"🟡 Revisar","Aguardando")))</f>
        <v/>
      </c>
    </row>
    <row r="132" customFormat="false" ht="15" hidden="false" customHeight="false" outlineLevel="0" collapsed="false">
      <c r="A132" s="30"/>
      <c r="B132" s="17"/>
      <c r="C132" s="18"/>
      <c r="D132" s="18"/>
      <c r="E132" s="18"/>
      <c r="F132" s="15" t="str">
        <f aca="false">IF(A132="","",A132+7)</f>
        <v/>
      </c>
      <c r="G132" s="17"/>
      <c r="H132" s="16" t="str">
        <f aca="true">IF(A132="","",IF(G132="✓","🟢 Revisado",IF(TODAY()&gt;=F132,"🟡 Revisar","Aguardando")))</f>
        <v/>
      </c>
    </row>
    <row r="133" customFormat="false" ht="15" hidden="false" customHeight="false" outlineLevel="0" collapsed="false">
      <c r="A133" s="30"/>
      <c r="B133" s="17"/>
      <c r="C133" s="18"/>
      <c r="D133" s="18"/>
      <c r="E133" s="18"/>
      <c r="F133" s="15" t="str">
        <f aca="false">IF(A133="","",A133+7)</f>
        <v/>
      </c>
      <c r="G133" s="17"/>
      <c r="H133" s="16" t="str">
        <f aca="true">IF(A133="","",IF(G133="✓","🟢 Revisado",IF(TODAY()&gt;=F133,"🟡 Revisar","Aguardando")))</f>
        <v/>
      </c>
    </row>
    <row r="134" customFormat="false" ht="15" hidden="false" customHeight="false" outlineLevel="0" collapsed="false">
      <c r="A134" s="30"/>
      <c r="B134" s="17"/>
      <c r="C134" s="18"/>
      <c r="D134" s="18"/>
      <c r="E134" s="18"/>
      <c r="F134" s="15" t="str">
        <f aca="false">IF(A134="","",A134+7)</f>
        <v/>
      </c>
      <c r="G134" s="17"/>
      <c r="H134" s="16" t="str">
        <f aca="true">IF(A134="","",IF(G134="✓","🟢 Revisado",IF(TODAY()&gt;=F134,"🟡 Revisar","Aguardando")))</f>
        <v/>
      </c>
    </row>
    <row r="135" customFormat="false" ht="15" hidden="false" customHeight="false" outlineLevel="0" collapsed="false">
      <c r="A135" s="30"/>
      <c r="B135" s="17"/>
      <c r="C135" s="18"/>
      <c r="D135" s="18"/>
      <c r="E135" s="18"/>
      <c r="F135" s="15" t="str">
        <f aca="false">IF(A135="","",A135+7)</f>
        <v/>
      </c>
      <c r="G135" s="17"/>
      <c r="H135" s="16" t="str">
        <f aca="true">IF(A135="","",IF(G135="✓","🟢 Revisado",IF(TODAY()&gt;=F135,"🟡 Revisar","Aguardando")))</f>
        <v/>
      </c>
    </row>
    <row r="136" customFormat="false" ht="15" hidden="false" customHeight="false" outlineLevel="0" collapsed="false">
      <c r="A136" s="30"/>
      <c r="B136" s="17"/>
      <c r="C136" s="18"/>
      <c r="D136" s="18"/>
      <c r="E136" s="18"/>
      <c r="F136" s="15" t="str">
        <f aca="false">IF(A136="","",A136+7)</f>
        <v/>
      </c>
      <c r="G136" s="17"/>
      <c r="H136" s="16" t="str">
        <f aca="true">IF(A136="","",IF(G136="✓","🟢 Revisado",IF(TODAY()&gt;=F136,"🟡 Revisar","Aguardando")))</f>
        <v/>
      </c>
    </row>
    <row r="137" customFormat="false" ht="15" hidden="false" customHeight="false" outlineLevel="0" collapsed="false">
      <c r="A137" s="30"/>
      <c r="B137" s="17"/>
      <c r="C137" s="18"/>
      <c r="D137" s="18"/>
      <c r="E137" s="18"/>
      <c r="F137" s="15" t="str">
        <f aca="false">IF(A137="","",A137+7)</f>
        <v/>
      </c>
      <c r="G137" s="17"/>
      <c r="H137" s="16" t="str">
        <f aca="true">IF(A137="","",IF(G137="✓","🟢 Revisado",IF(TODAY()&gt;=F137,"🟡 Revisar","Aguardando")))</f>
        <v/>
      </c>
    </row>
    <row r="138" customFormat="false" ht="15" hidden="false" customHeight="false" outlineLevel="0" collapsed="false">
      <c r="A138" s="30"/>
      <c r="B138" s="17"/>
      <c r="C138" s="18"/>
      <c r="D138" s="18"/>
      <c r="E138" s="18"/>
      <c r="F138" s="15" t="str">
        <f aca="false">IF(A138="","",A138+7)</f>
        <v/>
      </c>
      <c r="G138" s="17"/>
      <c r="H138" s="16" t="str">
        <f aca="true">IF(A138="","",IF(G138="✓","🟢 Revisado",IF(TODAY()&gt;=F138,"🟡 Revisar","Aguardando")))</f>
        <v/>
      </c>
    </row>
    <row r="139" customFormat="false" ht="15" hidden="false" customHeight="false" outlineLevel="0" collapsed="false">
      <c r="A139" s="30"/>
      <c r="B139" s="17"/>
      <c r="C139" s="18"/>
      <c r="D139" s="18"/>
      <c r="E139" s="18"/>
      <c r="F139" s="15" t="str">
        <f aca="false">IF(A139="","",A139+7)</f>
        <v/>
      </c>
      <c r="G139" s="17"/>
      <c r="H139" s="16" t="str">
        <f aca="true">IF(A139="","",IF(G139="✓","🟢 Revisado",IF(TODAY()&gt;=F139,"🟡 Revisar","Aguardando")))</f>
        <v/>
      </c>
    </row>
    <row r="140" customFormat="false" ht="15" hidden="false" customHeight="false" outlineLevel="0" collapsed="false">
      <c r="A140" s="30"/>
      <c r="B140" s="17"/>
      <c r="C140" s="18"/>
      <c r="D140" s="18"/>
      <c r="E140" s="18"/>
      <c r="F140" s="15" t="str">
        <f aca="false">IF(A140="","",A140+7)</f>
        <v/>
      </c>
      <c r="G140" s="17"/>
      <c r="H140" s="16" t="str">
        <f aca="true">IF(A140="","",IF(G140="✓","🟢 Revisado",IF(TODAY()&gt;=F140,"🟡 Revisar","Aguardando")))</f>
        <v/>
      </c>
    </row>
    <row r="141" customFormat="false" ht="15" hidden="false" customHeight="false" outlineLevel="0" collapsed="false">
      <c r="A141" s="30"/>
      <c r="B141" s="17"/>
      <c r="C141" s="18"/>
      <c r="D141" s="18"/>
      <c r="E141" s="18"/>
      <c r="F141" s="15" t="str">
        <f aca="false">IF(A141="","",A141+7)</f>
        <v/>
      </c>
      <c r="G141" s="17"/>
      <c r="H141" s="16" t="str">
        <f aca="true">IF(A141="","",IF(G141="✓","🟢 Revisado",IF(TODAY()&gt;=F141,"🟡 Revisar","Aguardando")))</f>
        <v/>
      </c>
    </row>
    <row r="142" customFormat="false" ht="15" hidden="false" customHeight="false" outlineLevel="0" collapsed="false">
      <c r="A142" s="30"/>
      <c r="B142" s="17"/>
      <c r="C142" s="18"/>
      <c r="D142" s="18"/>
      <c r="E142" s="18"/>
      <c r="F142" s="15" t="str">
        <f aca="false">IF(A142="","",A142+7)</f>
        <v/>
      </c>
      <c r="G142" s="17"/>
      <c r="H142" s="16" t="str">
        <f aca="true">IF(A142="","",IF(G142="✓","🟢 Revisado",IF(TODAY()&gt;=F142,"🟡 Revisar","Aguardando")))</f>
        <v/>
      </c>
    </row>
    <row r="143" customFormat="false" ht="15" hidden="false" customHeight="false" outlineLevel="0" collapsed="false">
      <c r="A143" s="30"/>
      <c r="B143" s="17"/>
      <c r="C143" s="18"/>
      <c r="D143" s="18"/>
      <c r="E143" s="18"/>
      <c r="F143" s="15" t="str">
        <f aca="false">IF(A143="","",A143+7)</f>
        <v/>
      </c>
      <c r="G143" s="17"/>
      <c r="H143" s="16" t="str">
        <f aca="true">IF(A143="","",IF(G143="✓","🟢 Revisado",IF(TODAY()&gt;=F143,"🟡 Revisar","Aguardando")))</f>
        <v/>
      </c>
    </row>
    <row r="144" customFormat="false" ht="15" hidden="false" customHeight="false" outlineLevel="0" collapsed="false">
      <c r="A144" s="30"/>
      <c r="B144" s="17"/>
      <c r="C144" s="18"/>
      <c r="D144" s="18"/>
      <c r="E144" s="18"/>
      <c r="F144" s="15" t="str">
        <f aca="false">IF(A144="","",A144+7)</f>
        <v/>
      </c>
      <c r="G144" s="17"/>
      <c r="H144" s="16" t="str">
        <f aca="true">IF(A144="","",IF(G144="✓","🟢 Revisado",IF(TODAY()&gt;=F144,"🟡 Revisar","Aguardando")))</f>
        <v/>
      </c>
    </row>
    <row r="145" customFormat="false" ht="15" hidden="false" customHeight="false" outlineLevel="0" collapsed="false">
      <c r="A145" s="30"/>
      <c r="B145" s="17"/>
      <c r="C145" s="18"/>
      <c r="D145" s="18"/>
      <c r="E145" s="18"/>
      <c r="F145" s="15" t="str">
        <f aca="false">IF(A145="","",A145+7)</f>
        <v/>
      </c>
      <c r="G145" s="17"/>
      <c r="H145" s="16" t="str">
        <f aca="true">IF(A145="","",IF(G145="✓","🟢 Revisado",IF(TODAY()&gt;=F145,"🟡 Revisar","Aguardando")))</f>
        <v/>
      </c>
    </row>
    <row r="146" customFormat="false" ht="15" hidden="false" customHeight="false" outlineLevel="0" collapsed="false">
      <c r="A146" s="30"/>
      <c r="B146" s="17"/>
      <c r="C146" s="18"/>
      <c r="D146" s="18"/>
      <c r="E146" s="18"/>
      <c r="F146" s="15" t="str">
        <f aca="false">IF(A146="","",A146+7)</f>
        <v/>
      </c>
      <c r="G146" s="17"/>
      <c r="H146" s="16" t="str">
        <f aca="true">IF(A146="","",IF(G146="✓","🟢 Revisado",IF(TODAY()&gt;=F146,"🟡 Revisar","Aguardando")))</f>
        <v/>
      </c>
    </row>
    <row r="147" customFormat="false" ht="15" hidden="false" customHeight="false" outlineLevel="0" collapsed="false">
      <c r="A147" s="30"/>
      <c r="B147" s="17"/>
      <c r="C147" s="18"/>
      <c r="D147" s="18"/>
      <c r="E147" s="18"/>
      <c r="F147" s="15" t="str">
        <f aca="false">IF(A147="","",A147+7)</f>
        <v/>
      </c>
      <c r="G147" s="17"/>
      <c r="H147" s="16" t="str">
        <f aca="true">IF(A147="","",IF(G147="✓","🟢 Revisado",IF(TODAY()&gt;=F147,"🟡 Revisar","Aguardando")))</f>
        <v/>
      </c>
    </row>
    <row r="148" customFormat="false" ht="15" hidden="false" customHeight="false" outlineLevel="0" collapsed="false">
      <c r="A148" s="30"/>
      <c r="B148" s="17"/>
      <c r="C148" s="18"/>
      <c r="D148" s="18"/>
      <c r="E148" s="18"/>
      <c r="F148" s="15" t="str">
        <f aca="false">IF(A148="","",A148+7)</f>
        <v/>
      </c>
      <c r="G148" s="17"/>
      <c r="H148" s="16" t="str">
        <f aca="true">IF(A148="","",IF(G148="✓","🟢 Revisado",IF(TODAY()&gt;=F148,"🟡 Revisar","Aguardando")))</f>
        <v/>
      </c>
    </row>
    <row r="149" customFormat="false" ht="15" hidden="false" customHeight="false" outlineLevel="0" collapsed="false">
      <c r="A149" s="30"/>
      <c r="B149" s="17"/>
      <c r="C149" s="18"/>
      <c r="D149" s="18"/>
      <c r="E149" s="18"/>
      <c r="F149" s="15" t="str">
        <f aca="false">IF(A149="","",A149+7)</f>
        <v/>
      </c>
      <c r="G149" s="17"/>
      <c r="H149" s="16" t="str">
        <f aca="true">IF(A149="","",IF(G149="✓","🟢 Revisado",IF(TODAY()&gt;=F149,"🟡 Revisar","Aguardando")))</f>
        <v/>
      </c>
    </row>
    <row r="150" customFormat="false" ht="15" hidden="false" customHeight="false" outlineLevel="0" collapsed="false">
      <c r="A150" s="30"/>
      <c r="B150" s="17"/>
      <c r="C150" s="18"/>
      <c r="D150" s="18"/>
      <c r="E150" s="18"/>
      <c r="F150" s="15" t="str">
        <f aca="false">IF(A150="","",A150+7)</f>
        <v/>
      </c>
      <c r="G150" s="17"/>
      <c r="H150" s="16" t="str">
        <f aca="true">IF(A150="","",IF(G150="✓","🟢 Revisado",IF(TODAY()&gt;=F150,"🟡 Revisar","Aguardando")))</f>
        <v/>
      </c>
    </row>
    <row r="151" customFormat="false" ht="15" hidden="false" customHeight="false" outlineLevel="0" collapsed="false">
      <c r="A151" s="30"/>
      <c r="B151" s="17"/>
      <c r="C151" s="18"/>
      <c r="D151" s="18"/>
      <c r="E151" s="18"/>
      <c r="F151" s="15" t="str">
        <f aca="false">IF(A151="","",A151+7)</f>
        <v/>
      </c>
      <c r="G151" s="17"/>
      <c r="H151" s="16" t="str">
        <f aca="true">IF(A151="","",IF(G151="✓","🟢 Revisado",IF(TODAY()&gt;=F151,"🟡 Revisar","Aguardando")))</f>
        <v/>
      </c>
    </row>
    <row r="152" customFormat="false" ht="15" hidden="false" customHeight="false" outlineLevel="0" collapsed="false">
      <c r="A152" s="30"/>
      <c r="B152" s="17"/>
      <c r="C152" s="18"/>
      <c r="D152" s="18"/>
      <c r="E152" s="18"/>
      <c r="F152" s="15" t="str">
        <f aca="false">IF(A152="","",A152+7)</f>
        <v/>
      </c>
      <c r="G152" s="17"/>
      <c r="H152" s="16" t="str">
        <f aca="true">IF(A152="","",IF(G152="✓","🟢 Revisado",IF(TODAY()&gt;=F152,"🟡 Revisar","Aguardando")))</f>
        <v/>
      </c>
    </row>
    <row r="153" customFormat="false" ht="15" hidden="false" customHeight="false" outlineLevel="0" collapsed="false">
      <c r="A153" s="30"/>
      <c r="B153" s="17"/>
      <c r="C153" s="18"/>
      <c r="D153" s="18"/>
      <c r="E153" s="18"/>
      <c r="F153" s="15" t="str">
        <f aca="false">IF(A153="","",A153+7)</f>
        <v/>
      </c>
      <c r="G153" s="17"/>
      <c r="H153" s="16" t="str">
        <f aca="true">IF(A153="","",IF(G153="✓","🟢 Revisado",IF(TODAY()&gt;=F153,"🟡 Revisar","Aguardando")))</f>
        <v/>
      </c>
    </row>
    <row r="154" customFormat="false" ht="15" hidden="false" customHeight="false" outlineLevel="0" collapsed="false">
      <c r="A154" s="30"/>
      <c r="B154" s="17"/>
      <c r="C154" s="18"/>
      <c r="D154" s="18"/>
      <c r="E154" s="18"/>
      <c r="F154" s="15" t="str">
        <f aca="false">IF(A154="","",A154+7)</f>
        <v/>
      </c>
      <c r="G154" s="17"/>
      <c r="H154" s="16" t="str">
        <f aca="true">IF(A154="","",IF(G154="✓","🟢 Revisado",IF(TODAY()&gt;=F154,"🟡 Revisar","Aguardando")))</f>
        <v/>
      </c>
    </row>
    <row r="155" customFormat="false" ht="15" hidden="false" customHeight="false" outlineLevel="0" collapsed="false">
      <c r="A155" s="30"/>
      <c r="B155" s="17"/>
      <c r="C155" s="18"/>
      <c r="D155" s="18"/>
      <c r="E155" s="18"/>
      <c r="F155" s="15" t="str">
        <f aca="false">IF(A155="","",A155+7)</f>
        <v/>
      </c>
      <c r="G155" s="17"/>
      <c r="H155" s="16" t="str">
        <f aca="true">IF(A155="","",IF(G155="✓","🟢 Revisado",IF(TODAY()&gt;=F155,"🟡 Revisar","Aguardando")))</f>
        <v/>
      </c>
    </row>
    <row r="156" customFormat="false" ht="15" hidden="false" customHeight="false" outlineLevel="0" collapsed="false">
      <c r="A156" s="30"/>
      <c r="B156" s="17"/>
      <c r="C156" s="18"/>
      <c r="D156" s="18"/>
      <c r="E156" s="18"/>
      <c r="F156" s="15" t="str">
        <f aca="false">IF(A156="","",A156+7)</f>
        <v/>
      </c>
      <c r="G156" s="17"/>
      <c r="H156" s="16" t="str">
        <f aca="true">IF(A156="","",IF(G156="✓","🟢 Revisado",IF(TODAY()&gt;=F156,"🟡 Revisar","Aguardando")))</f>
        <v/>
      </c>
    </row>
    <row r="157" customFormat="false" ht="15" hidden="false" customHeight="false" outlineLevel="0" collapsed="false">
      <c r="A157" s="30"/>
      <c r="B157" s="17"/>
      <c r="C157" s="18"/>
      <c r="D157" s="18"/>
      <c r="E157" s="18"/>
      <c r="F157" s="15" t="str">
        <f aca="false">IF(A157="","",A157+7)</f>
        <v/>
      </c>
      <c r="G157" s="17"/>
      <c r="H157" s="16" t="str">
        <f aca="true">IF(A157="","",IF(G157="✓","🟢 Revisado",IF(TODAY()&gt;=F157,"🟡 Revisar","Aguardando")))</f>
        <v/>
      </c>
    </row>
    <row r="158" customFormat="false" ht="15" hidden="false" customHeight="false" outlineLevel="0" collapsed="false">
      <c r="A158" s="30"/>
      <c r="B158" s="17"/>
      <c r="C158" s="18"/>
      <c r="D158" s="18"/>
      <c r="E158" s="18"/>
      <c r="F158" s="15" t="str">
        <f aca="false">IF(A158="","",A158+7)</f>
        <v/>
      </c>
      <c r="G158" s="17"/>
      <c r="H158" s="16" t="str">
        <f aca="true">IF(A158="","",IF(G158="✓","🟢 Revisado",IF(TODAY()&gt;=F158,"🟡 Revisar","Aguardando")))</f>
        <v/>
      </c>
    </row>
    <row r="159" customFormat="false" ht="15" hidden="false" customHeight="false" outlineLevel="0" collapsed="false">
      <c r="A159" s="30"/>
      <c r="B159" s="17"/>
      <c r="C159" s="18"/>
      <c r="D159" s="18"/>
      <c r="E159" s="18"/>
      <c r="F159" s="15" t="str">
        <f aca="false">IF(A159="","",A159+7)</f>
        <v/>
      </c>
      <c r="G159" s="17"/>
      <c r="H159" s="16" t="str">
        <f aca="true">IF(A159="","",IF(G159="✓","🟢 Revisado",IF(TODAY()&gt;=F159,"🟡 Revisar","Aguardando")))</f>
        <v/>
      </c>
    </row>
    <row r="160" customFormat="false" ht="15" hidden="false" customHeight="false" outlineLevel="0" collapsed="false">
      <c r="A160" s="30"/>
      <c r="B160" s="17"/>
      <c r="C160" s="18"/>
      <c r="D160" s="18"/>
      <c r="E160" s="18"/>
      <c r="F160" s="15" t="str">
        <f aca="false">IF(A160="","",A160+7)</f>
        <v/>
      </c>
      <c r="G160" s="17"/>
      <c r="H160" s="16" t="str">
        <f aca="true">IF(A160="","",IF(G160="✓","🟢 Revisado",IF(TODAY()&gt;=F160,"🟡 Revisar","Aguardando")))</f>
        <v/>
      </c>
    </row>
    <row r="161" customFormat="false" ht="15" hidden="false" customHeight="false" outlineLevel="0" collapsed="false">
      <c r="A161" s="30"/>
      <c r="B161" s="17"/>
      <c r="C161" s="18"/>
      <c r="D161" s="18"/>
      <c r="E161" s="18"/>
      <c r="F161" s="15" t="str">
        <f aca="false">IF(A161="","",A161+7)</f>
        <v/>
      </c>
      <c r="G161" s="17"/>
      <c r="H161" s="16" t="str">
        <f aca="true">IF(A161="","",IF(G161="✓","🟢 Revisado",IF(TODAY()&gt;=F161,"🟡 Revisar","Aguardando")))</f>
        <v/>
      </c>
    </row>
    <row r="162" customFormat="false" ht="15" hidden="false" customHeight="false" outlineLevel="0" collapsed="false">
      <c r="A162" s="30"/>
      <c r="B162" s="17"/>
      <c r="C162" s="18"/>
      <c r="D162" s="18"/>
      <c r="E162" s="18"/>
      <c r="F162" s="15" t="str">
        <f aca="false">IF(A162="","",A162+7)</f>
        <v/>
      </c>
      <c r="G162" s="17"/>
      <c r="H162" s="16" t="str">
        <f aca="true">IF(A162="","",IF(G162="✓","🟢 Revisado",IF(TODAY()&gt;=F162,"🟡 Revisar","Aguardando")))</f>
        <v/>
      </c>
    </row>
    <row r="163" customFormat="false" ht="15" hidden="false" customHeight="false" outlineLevel="0" collapsed="false">
      <c r="A163" s="30"/>
      <c r="B163" s="17"/>
      <c r="C163" s="18"/>
      <c r="D163" s="18"/>
      <c r="E163" s="18"/>
      <c r="F163" s="15" t="str">
        <f aca="false">IF(A163="","",A163+7)</f>
        <v/>
      </c>
      <c r="G163" s="17"/>
      <c r="H163" s="16" t="str">
        <f aca="true">IF(A163="","",IF(G163="✓","🟢 Revisado",IF(TODAY()&gt;=F163,"🟡 Revisar","Aguardando")))</f>
        <v/>
      </c>
    </row>
    <row r="164" customFormat="false" ht="15" hidden="false" customHeight="false" outlineLevel="0" collapsed="false">
      <c r="A164" s="30"/>
      <c r="B164" s="17"/>
      <c r="C164" s="18"/>
      <c r="D164" s="18"/>
      <c r="E164" s="18"/>
      <c r="F164" s="15" t="str">
        <f aca="false">IF(A164="","",A164+7)</f>
        <v/>
      </c>
      <c r="G164" s="17"/>
      <c r="H164" s="16" t="str">
        <f aca="true">IF(A164="","",IF(G164="✓","🟢 Revisado",IF(TODAY()&gt;=F164,"🟡 Revisar","Aguardando")))</f>
        <v/>
      </c>
    </row>
    <row r="165" customFormat="false" ht="15" hidden="false" customHeight="false" outlineLevel="0" collapsed="false">
      <c r="A165" s="30"/>
      <c r="B165" s="17"/>
      <c r="C165" s="18"/>
      <c r="D165" s="18"/>
      <c r="E165" s="18"/>
      <c r="F165" s="15" t="str">
        <f aca="false">IF(A165="","",A165+7)</f>
        <v/>
      </c>
      <c r="G165" s="17"/>
      <c r="H165" s="16" t="str">
        <f aca="true">IF(A165="","",IF(G165="✓","🟢 Revisado",IF(TODAY()&gt;=F165,"🟡 Revisar","Aguardando")))</f>
        <v/>
      </c>
    </row>
    <row r="166" customFormat="false" ht="15" hidden="false" customHeight="false" outlineLevel="0" collapsed="false">
      <c r="A166" s="30"/>
      <c r="B166" s="17"/>
      <c r="C166" s="18"/>
      <c r="D166" s="18"/>
      <c r="E166" s="18"/>
      <c r="F166" s="15" t="str">
        <f aca="false">IF(A166="","",A166+7)</f>
        <v/>
      </c>
      <c r="G166" s="17"/>
      <c r="H166" s="16" t="str">
        <f aca="true">IF(A166="","",IF(G166="✓","🟢 Revisado",IF(TODAY()&gt;=F166,"🟡 Revisar","Aguardando")))</f>
        <v/>
      </c>
    </row>
    <row r="167" customFormat="false" ht="15" hidden="false" customHeight="false" outlineLevel="0" collapsed="false">
      <c r="A167" s="30"/>
      <c r="B167" s="17"/>
      <c r="C167" s="18"/>
      <c r="D167" s="18"/>
      <c r="E167" s="18"/>
      <c r="F167" s="15" t="str">
        <f aca="false">IF(A167="","",A167+7)</f>
        <v/>
      </c>
      <c r="G167" s="17"/>
      <c r="H167" s="16" t="str">
        <f aca="true">IF(A167="","",IF(G167="✓","🟢 Revisado",IF(TODAY()&gt;=F167,"🟡 Revisar","Aguardando")))</f>
        <v/>
      </c>
    </row>
    <row r="168" customFormat="false" ht="15" hidden="false" customHeight="false" outlineLevel="0" collapsed="false">
      <c r="A168" s="30"/>
      <c r="B168" s="17"/>
      <c r="C168" s="18"/>
      <c r="D168" s="18"/>
      <c r="E168" s="18"/>
      <c r="F168" s="15" t="str">
        <f aca="false">IF(A168="","",A168+7)</f>
        <v/>
      </c>
      <c r="G168" s="17"/>
      <c r="H168" s="16" t="str">
        <f aca="true">IF(A168="","",IF(G168="✓","🟢 Revisado",IF(TODAY()&gt;=F168,"🟡 Revisar","Aguardando")))</f>
        <v/>
      </c>
    </row>
    <row r="169" customFormat="false" ht="15" hidden="false" customHeight="false" outlineLevel="0" collapsed="false">
      <c r="A169" s="30"/>
      <c r="B169" s="17"/>
      <c r="C169" s="18"/>
      <c r="D169" s="18"/>
      <c r="E169" s="18"/>
      <c r="F169" s="15" t="str">
        <f aca="false">IF(A169="","",A169+7)</f>
        <v/>
      </c>
      <c r="G169" s="17"/>
      <c r="H169" s="16" t="str">
        <f aca="true">IF(A169="","",IF(G169="✓","🟢 Revisado",IF(TODAY()&gt;=F169,"🟡 Revisar","Aguardando")))</f>
        <v/>
      </c>
    </row>
    <row r="170" customFormat="false" ht="15" hidden="false" customHeight="false" outlineLevel="0" collapsed="false">
      <c r="A170" s="30"/>
      <c r="B170" s="17"/>
      <c r="C170" s="18"/>
      <c r="D170" s="18"/>
      <c r="E170" s="18"/>
      <c r="F170" s="15" t="str">
        <f aca="false">IF(A170="","",A170+7)</f>
        <v/>
      </c>
      <c r="G170" s="17"/>
      <c r="H170" s="16" t="str">
        <f aca="true">IF(A170="","",IF(G170="✓","🟢 Revisado",IF(TODAY()&gt;=F170,"🟡 Revisar","Aguardando")))</f>
        <v/>
      </c>
    </row>
    <row r="171" customFormat="false" ht="15" hidden="false" customHeight="false" outlineLevel="0" collapsed="false">
      <c r="A171" s="30"/>
      <c r="B171" s="17"/>
      <c r="C171" s="18"/>
      <c r="D171" s="18"/>
      <c r="E171" s="18"/>
      <c r="F171" s="15" t="str">
        <f aca="false">IF(A171="","",A171+7)</f>
        <v/>
      </c>
      <c r="G171" s="17"/>
      <c r="H171" s="16" t="str">
        <f aca="true">IF(A171="","",IF(G171="✓","🟢 Revisado",IF(TODAY()&gt;=F171,"🟡 Revisar","Aguardando")))</f>
        <v/>
      </c>
    </row>
    <row r="172" customFormat="false" ht="15" hidden="false" customHeight="false" outlineLevel="0" collapsed="false">
      <c r="A172" s="30"/>
      <c r="B172" s="17"/>
      <c r="C172" s="18"/>
      <c r="D172" s="18"/>
      <c r="E172" s="18"/>
      <c r="F172" s="15" t="str">
        <f aca="false">IF(A172="","",A172+7)</f>
        <v/>
      </c>
      <c r="G172" s="17"/>
      <c r="H172" s="16" t="str">
        <f aca="true">IF(A172="","",IF(G172="✓","🟢 Revisado",IF(TODAY()&gt;=F172,"🟡 Revisar","Aguardando")))</f>
        <v/>
      </c>
    </row>
    <row r="173" customFormat="false" ht="15" hidden="false" customHeight="false" outlineLevel="0" collapsed="false">
      <c r="A173" s="30"/>
      <c r="B173" s="17"/>
      <c r="C173" s="18"/>
      <c r="D173" s="18"/>
      <c r="E173" s="18"/>
      <c r="F173" s="15" t="str">
        <f aca="false">IF(A173="","",A173+7)</f>
        <v/>
      </c>
      <c r="G173" s="17"/>
      <c r="H173" s="16" t="str">
        <f aca="true">IF(A173="","",IF(G173="✓","🟢 Revisado",IF(TODAY()&gt;=F173,"🟡 Revisar","Aguardando")))</f>
        <v/>
      </c>
    </row>
    <row r="174" customFormat="false" ht="15" hidden="false" customHeight="false" outlineLevel="0" collapsed="false">
      <c r="A174" s="30"/>
      <c r="B174" s="17"/>
      <c r="C174" s="18"/>
      <c r="D174" s="18"/>
      <c r="E174" s="18"/>
      <c r="F174" s="15" t="str">
        <f aca="false">IF(A174="","",A174+7)</f>
        <v/>
      </c>
      <c r="G174" s="17"/>
      <c r="H174" s="16" t="str">
        <f aca="true">IF(A174="","",IF(G174="✓","🟢 Revisado",IF(TODAY()&gt;=F174,"🟡 Revisar","Aguardando")))</f>
        <v/>
      </c>
    </row>
    <row r="175" customFormat="false" ht="15" hidden="false" customHeight="false" outlineLevel="0" collapsed="false">
      <c r="A175" s="30"/>
      <c r="B175" s="17"/>
      <c r="C175" s="18"/>
      <c r="D175" s="18"/>
      <c r="E175" s="18"/>
      <c r="F175" s="15" t="str">
        <f aca="false">IF(A175="","",A175+7)</f>
        <v/>
      </c>
      <c r="G175" s="17"/>
      <c r="H175" s="16" t="str">
        <f aca="true">IF(A175="","",IF(G175="✓","🟢 Revisado",IF(TODAY()&gt;=F175,"🟡 Revisar","Aguardando")))</f>
        <v/>
      </c>
    </row>
    <row r="176" customFormat="false" ht="15" hidden="false" customHeight="false" outlineLevel="0" collapsed="false">
      <c r="A176" s="30"/>
      <c r="B176" s="17"/>
      <c r="C176" s="18"/>
      <c r="D176" s="18"/>
      <c r="E176" s="18"/>
      <c r="F176" s="15" t="str">
        <f aca="false">IF(A176="","",A176+7)</f>
        <v/>
      </c>
      <c r="G176" s="17"/>
      <c r="H176" s="16" t="str">
        <f aca="true">IF(A176="","",IF(G176="✓","🟢 Revisado",IF(TODAY()&gt;=F176,"🟡 Revisar","Aguardando")))</f>
        <v/>
      </c>
    </row>
    <row r="177" customFormat="false" ht="15" hidden="false" customHeight="false" outlineLevel="0" collapsed="false">
      <c r="A177" s="30"/>
      <c r="B177" s="17"/>
      <c r="C177" s="18"/>
      <c r="D177" s="18"/>
      <c r="E177" s="18"/>
      <c r="F177" s="15" t="str">
        <f aca="false">IF(A177="","",A177+7)</f>
        <v/>
      </c>
      <c r="G177" s="17"/>
      <c r="H177" s="16" t="str">
        <f aca="true">IF(A177="","",IF(G177="✓","🟢 Revisado",IF(TODAY()&gt;=F177,"🟡 Revisar","Aguardando")))</f>
        <v/>
      </c>
    </row>
    <row r="178" customFormat="false" ht="15" hidden="false" customHeight="false" outlineLevel="0" collapsed="false">
      <c r="A178" s="30"/>
      <c r="B178" s="17"/>
      <c r="C178" s="18"/>
      <c r="D178" s="18"/>
      <c r="E178" s="18"/>
      <c r="F178" s="15" t="str">
        <f aca="false">IF(A178="","",A178+7)</f>
        <v/>
      </c>
      <c r="G178" s="17"/>
      <c r="H178" s="16" t="str">
        <f aca="true">IF(A178="","",IF(G178="✓","🟢 Revisado",IF(TODAY()&gt;=F178,"🟡 Revisar","Aguardando")))</f>
        <v/>
      </c>
    </row>
    <row r="179" customFormat="false" ht="15" hidden="false" customHeight="false" outlineLevel="0" collapsed="false">
      <c r="A179" s="30"/>
      <c r="B179" s="17"/>
      <c r="C179" s="18"/>
      <c r="D179" s="18"/>
      <c r="E179" s="18"/>
      <c r="F179" s="15" t="str">
        <f aca="false">IF(A179="","",A179+7)</f>
        <v/>
      </c>
      <c r="G179" s="17"/>
      <c r="H179" s="16" t="str">
        <f aca="true">IF(A179="","",IF(G179="✓","🟢 Revisado",IF(TODAY()&gt;=F179,"🟡 Revisar","Aguardando")))</f>
        <v/>
      </c>
    </row>
    <row r="180" customFormat="false" ht="15" hidden="false" customHeight="false" outlineLevel="0" collapsed="false">
      <c r="A180" s="30"/>
      <c r="B180" s="17"/>
      <c r="C180" s="18"/>
      <c r="D180" s="18"/>
      <c r="E180" s="18"/>
      <c r="F180" s="15" t="str">
        <f aca="false">IF(A180="","",A180+7)</f>
        <v/>
      </c>
      <c r="G180" s="17"/>
      <c r="H180" s="16" t="str">
        <f aca="true">IF(A180="","",IF(G180="✓","🟢 Revisado",IF(TODAY()&gt;=F180,"🟡 Revisar","Aguardando")))</f>
        <v/>
      </c>
    </row>
    <row r="181" customFormat="false" ht="15" hidden="false" customHeight="false" outlineLevel="0" collapsed="false">
      <c r="A181" s="30"/>
      <c r="B181" s="17"/>
      <c r="C181" s="18"/>
      <c r="D181" s="18"/>
      <c r="E181" s="18"/>
      <c r="F181" s="15" t="str">
        <f aca="false">IF(A181="","",A181+7)</f>
        <v/>
      </c>
      <c r="G181" s="17"/>
      <c r="H181" s="16" t="str">
        <f aca="true">IF(A181="","",IF(G181="✓","🟢 Revisado",IF(TODAY()&gt;=F181,"🟡 Revisar","Aguardando")))</f>
        <v/>
      </c>
    </row>
    <row r="182" customFormat="false" ht="15" hidden="false" customHeight="false" outlineLevel="0" collapsed="false">
      <c r="A182" s="30"/>
      <c r="B182" s="17"/>
      <c r="C182" s="18"/>
      <c r="D182" s="18"/>
      <c r="E182" s="18"/>
      <c r="F182" s="15" t="str">
        <f aca="false">IF(A182="","",A182+7)</f>
        <v/>
      </c>
      <c r="G182" s="17"/>
      <c r="H182" s="16" t="str">
        <f aca="true">IF(A182="","",IF(G182="✓","🟢 Revisado",IF(TODAY()&gt;=F182,"🟡 Revisar","Aguardando")))</f>
        <v/>
      </c>
    </row>
    <row r="183" customFormat="false" ht="15" hidden="false" customHeight="false" outlineLevel="0" collapsed="false">
      <c r="A183" s="30"/>
      <c r="B183" s="17"/>
      <c r="C183" s="18"/>
      <c r="D183" s="18"/>
      <c r="E183" s="18"/>
      <c r="F183" s="15" t="str">
        <f aca="false">IF(A183="","",A183+7)</f>
        <v/>
      </c>
      <c r="G183" s="17"/>
      <c r="H183" s="16" t="str">
        <f aca="true">IF(A183="","",IF(G183="✓","🟢 Revisado",IF(TODAY()&gt;=F183,"🟡 Revisar","Aguardando")))</f>
        <v/>
      </c>
    </row>
    <row r="184" customFormat="false" ht="15" hidden="false" customHeight="false" outlineLevel="0" collapsed="false">
      <c r="A184" s="30"/>
      <c r="B184" s="17"/>
      <c r="C184" s="18"/>
      <c r="D184" s="18"/>
      <c r="E184" s="18"/>
      <c r="F184" s="15" t="str">
        <f aca="false">IF(A184="","",A184+7)</f>
        <v/>
      </c>
      <c r="G184" s="17"/>
      <c r="H184" s="16" t="str">
        <f aca="true">IF(A184="","",IF(G184="✓","🟢 Revisado",IF(TODAY()&gt;=F184,"🟡 Revisar","Aguardando")))</f>
        <v/>
      </c>
    </row>
    <row r="185" customFormat="false" ht="15" hidden="false" customHeight="false" outlineLevel="0" collapsed="false">
      <c r="A185" s="30"/>
      <c r="B185" s="17"/>
      <c r="C185" s="18"/>
      <c r="D185" s="18"/>
      <c r="E185" s="18"/>
      <c r="F185" s="15" t="str">
        <f aca="false">IF(A185="","",A185+7)</f>
        <v/>
      </c>
      <c r="G185" s="17"/>
      <c r="H185" s="16" t="str">
        <f aca="true">IF(A185="","",IF(G185="✓","🟢 Revisado",IF(TODAY()&gt;=F185,"🟡 Revisar","Aguardando")))</f>
        <v/>
      </c>
    </row>
    <row r="186" customFormat="false" ht="15" hidden="false" customHeight="false" outlineLevel="0" collapsed="false">
      <c r="A186" s="30"/>
      <c r="B186" s="17"/>
      <c r="C186" s="18"/>
      <c r="D186" s="18"/>
      <c r="E186" s="18"/>
      <c r="F186" s="15" t="str">
        <f aca="false">IF(A186="","",A186+7)</f>
        <v/>
      </c>
      <c r="G186" s="17"/>
      <c r="H186" s="16" t="str">
        <f aca="true">IF(A186="","",IF(G186="✓","🟢 Revisado",IF(TODAY()&gt;=F186,"🟡 Revisar","Aguardando")))</f>
        <v/>
      </c>
    </row>
    <row r="187" customFormat="false" ht="15" hidden="false" customHeight="false" outlineLevel="0" collapsed="false">
      <c r="A187" s="30"/>
      <c r="B187" s="17"/>
      <c r="C187" s="18"/>
      <c r="D187" s="18"/>
      <c r="E187" s="18"/>
      <c r="F187" s="15" t="str">
        <f aca="false">IF(A187="","",A187+7)</f>
        <v/>
      </c>
      <c r="G187" s="17"/>
      <c r="H187" s="16" t="str">
        <f aca="true">IF(A187="","",IF(G187="✓","🟢 Revisado",IF(TODAY()&gt;=F187,"🟡 Revisar","Aguardando")))</f>
        <v/>
      </c>
    </row>
    <row r="188" customFormat="false" ht="15" hidden="false" customHeight="false" outlineLevel="0" collapsed="false">
      <c r="A188" s="30"/>
      <c r="B188" s="17"/>
      <c r="C188" s="18"/>
      <c r="D188" s="18"/>
      <c r="E188" s="18"/>
      <c r="F188" s="15" t="str">
        <f aca="false">IF(A188="","",A188+7)</f>
        <v/>
      </c>
      <c r="G188" s="17"/>
      <c r="H188" s="16" t="str">
        <f aca="true">IF(A188="","",IF(G188="✓","🟢 Revisado",IF(TODAY()&gt;=F188,"🟡 Revisar","Aguardando")))</f>
        <v/>
      </c>
    </row>
    <row r="189" customFormat="false" ht="15" hidden="false" customHeight="false" outlineLevel="0" collapsed="false">
      <c r="A189" s="30"/>
      <c r="B189" s="17"/>
      <c r="C189" s="18"/>
      <c r="D189" s="18"/>
      <c r="E189" s="18"/>
      <c r="F189" s="15" t="str">
        <f aca="false">IF(A189="","",A189+7)</f>
        <v/>
      </c>
      <c r="G189" s="17"/>
      <c r="H189" s="16" t="str">
        <f aca="true">IF(A189="","",IF(G189="✓","🟢 Revisado",IF(TODAY()&gt;=F189,"🟡 Revisar","Aguardando")))</f>
        <v/>
      </c>
    </row>
    <row r="190" customFormat="false" ht="15" hidden="false" customHeight="false" outlineLevel="0" collapsed="false">
      <c r="A190" s="30"/>
      <c r="B190" s="17"/>
      <c r="C190" s="18"/>
      <c r="D190" s="18"/>
      <c r="E190" s="18"/>
      <c r="F190" s="15" t="str">
        <f aca="false">IF(A190="","",A190+7)</f>
        <v/>
      </c>
      <c r="G190" s="17"/>
      <c r="H190" s="16" t="str">
        <f aca="true">IF(A190="","",IF(G190="✓","🟢 Revisado",IF(TODAY()&gt;=F190,"🟡 Revisar","Aguardando")))</f>
        <v/>
      </c>
    </row>
    <row r="191" customFormat="false" ht="15" hidden="false" customHeight="false" outlineLevel="0" collapsed="false">
      <c r="A191" s="30"/>
      <c r="B191" s="17"/>
      <c r="C191" s="18"/>
      <c r="D191" s="18"/>
      <c r="E191" s="18"/>
      <c r="F191" s="15" t="str">
        <f aca="false">IF(A191="","",A191+7)</f>
        <v/>
      </c>
      <c r="G191" s="17"/>
      <c r="H191" s="16" t="str">
        <f aca="true">IF(A191="","",IF(G191="✓","🟢 Revisado",IF(TODAY()&gt;=F191,"🟡 Revisar","Aguardando")))</f>
        <v/>
      </c>
    </row>
    <row r="192" customFormat="false" ht="15" hidden="false" customHeight="false" outlineLevel="0" collapsed="false">
      <c r="A192" s="30"/>
      <c r="B192" s="17"/>
      <c r="C192" s="18"/>
      <c r="D192" s="18"/>
      <c r="E192" s="18"/>
      <c r="F192" s="15" t="str">
        <f aca="false">IF(A192="","",A192+7)</f>
        <v/>
      </c>
      <c r="G192" s="17"/>
      <c r="H192" s="16" t="str">
        <f aca="true">IF(A192="","",IF(G192="✓","🟢 Revisado",IF(TODAY()&gt;=F192,"🟡 Revisar","Aguardando")))</f>
        <v/>
      </c>
    </row>
    <row r="193" customFormat="false" ht="15" hidden="false" customHeight="false" outlineLevel="0" collapsed="false">
      <c r="A193" s="30"/>
      <c r="B193" s="17"/>
      <c r="C193" s="18"/>
      <c r="D193" s="18"/>
      <c r="E193" s="18"/>
      <c r="F193" s="15" t="str">
        <f aca="false">IF(A193="","",A193+7)</f>
        <v/>
      </c>
      <c r="G193" s="17"/>
      <c r="H193" s="16" t="str">
        <f aca="true">IF(A193="","",IF(G193="✓","🟢 Revisado",IF(TODAY()&gt;=F193,"🟡 Revisar","Aguardando")))</f>
        <v/>
      </c>
    </row>
    <row r="194" customFormat="false" ht="15" hidden="false" customHeight="false" outlineLevel="0" collapsed="false">
      <c r="A194" s="30"/>
      <c r="B194" s="17"/>
      <c r="C194" s="18"/>
      <c r="D194" s="18"/>
      <c r="E194" s="18"/>
      <c r="F194" s="15" t="str">
        <f aca="false">IF(A194="","",A194+7)</f>
        <v/>
      </c>
      <c r="G194" s="17"/>
      <c r="H194" s="16" t="str">
        <f aca="true">IF(A194="","",IF(G194="✓","🟢 Revisado",IF(TODAY()&gt;=F194,"🟡 Revisar","Aguardando")))</f>
        <v/>
      </c>
    </row>
    <row r="195" customFormat="false" ht="15" hidden="false" customHeight="false" outlineLevel="0" collapsed="false">
      <c r="A195" s="30"/>
      <c r="B195" s="17"/>
      <c r="C195" s="18"/>
      <c r="D195" s="18"/>
      <c r="E195" s="18"/>
      <c r="F195" s="15" t="str">
        <f aca="false">IF(A195="","",A195+7)</f>
        <v/>
      </c>
      <c r="G195" s="17"/>
      <c r="H195" s="16" t="str">
        <f aca="true">IF(A195="","",IF(G195="✓","🟢 Revisado",IF(TODAY()&gt;=F195,"🟡 Revisar","Aguardando")))</f>
        <v/>
      </c>
    </row>
    <row r="196" customFormat="false" ht="15" hidden="false" customHeight="false" outlineLevel="0" collapsed="false">
      <c r="A196" s="30"/>
      <c r="B196" s="17"/>
      <c r="C196" s="18"/>
      <c r="D196" s="18"/>
      <c r="E196" s="18"/>
      <c r="F196" s="15" t="str">
        <f aca="false">IF(A196="","",A196+7)</f>
        <v/>
      </c>
      <c r="G196" s="17"/>
      <c r="H196" s="16" t="str">
        <f aca="true">IF(A196="","",IF(G196="✓","🟢 Revisado",IF(TODAY()&gt;=F196,"🟡 Revisar","Aguardando")))</f>
        <v/>
      </c>
    </row>
    <row r="197" customFormat="false" ht="15" hidden="false" customHeight="false" outlineLevel="0" collapsed="false">
      <c r="A197" s="30"/>
      <c r="B197" s="17"/>
      <c r="C197" s="18"/>
      <c r="D197" s="18"/>
      <c r="E197" s="18"/>
      <c r="F197" s="15" t="str">
        <f aca="false">IF(A197="","",A197+7)</f>
        <v/>
      </c>
      <c r="G197" s="17"/>
      <c r="H197" s="16" t="str">
        <f aca="true">IF(A197="","",IF(G197="✓","🟢 Revisado",IF(TODAY()&gt;=F197,"🟡 Revisar","Aguardando")))</f>
        <v/>
      </c>
    </row>
    <row r="198" customFormat="false" ht="15" hidden="false" customHeight="false" outlineLevel="0" collapsed="false">
      <c r="A198" s="30"/>
      <c r="B198" s="17"/>
      <c r="C198" s="18"/>
      <c r="D198" s="18"/>
      <c r="E198" s="18"/>
      <c r="F198" s="15" t="str">
        <f aca="false">IF(A198="","",A198+7)</f>
        <v/>
      </c>
      <c r="G198" s="17"/>
      <c r="H198" s="16" t="str">
        <f aca="true">IF(A198="","",IF(G198="✓","🟢 Revisado",IF(TODAY()&gt;=F198,"🟡 Revisar","Aguardando")))</f>
        <v/>
      </c>
    </row>
    <row r="199" customFormat="false" ht="15" hidden="false" customHeight="false" outlineLevel="0" collapsed="false">
      <c r="A199" s="30"/>
      <c r="B199" s="17"/>
      <c r="C199" s="18"/>
      <c r="D199" s="18"/>
      <c r="E199" s="18"/>
      <c r="F199" s="15" t="str">
        <f aca="false">IF(A199="","",A199+7)</f>
        <v/>
      </c>
      <c r="G199" s="17"/>
      <c r="H199" s="16" t="str">
        <f aca="true">IF(A199="","",IF(G199="✓","🟢 Revisado",IF(TODAY()&gt;=F199,"🟡 Revisar","Aguardando")))</f>
        <v/>
      </c>
    </row>
    <row r="200" customFormat="false" ht="15" hidden="false" customHeight="false" outlineLevel="0" collapsed="false">
      <c r="A200" s="30"/>
      <c r="B200" s="17"/>
      <c r="C200" s="18"/>
      <c r="D200" s="18"/>
      <c r="E200" s="18"/>
      <c r="F200" s="15" t="str">
        <f aca="false">IF(A200="","",A200+7)</f>
        <v/>
      </c>
      <c r="G200" s="17"/>
      <c r="H200" s="16" t="str">
        <f aca="true">IF(A200="","",IF(G200="✓","🟢 Revisado",IF(TODAY()&gt;=F200,"🟡 Revisar","Aguardando")))</f>
        <v/>
      </c>
    </row>
    <row r="201" customFormat="false" ht="15" hidden="false" customHeight="false" outlineLevel="0" collapsed="false">
      <c r="A201" s="30"/>
      <c r="B201" s="17"/>
      <c r="C201" s="18"/>
      <c r="D201" s="18"/>
      <c r="E201" s="18"/>
      <c r="F201" s="15" t="str">
        <f aca="false">IF(A201="","",A201+7)</f>
        <v/>
      </c>
      <c r="G201" s="17"/>
      <c r="H201" s="16" t="str">
        <f aca="true">IF(A201="","",IF(G201="✓","🟢 Revisado",IF(TODAY()&gt;=F201,"🟡 Revisar","Aguardando")))</f>
        <v/>
      </c>
    </row>
    <row r="202" customFormat="false" ht="15" hidden="false" customHeight="false" outlineLevel="0" collapsed="false">
      <c r="A202" s="30"/>
      <c r="B202" s="17"/>
      <c r="C202" s="18"/>
      <c r="D202" s="18"/>
      <c r="E202" s="18"/>
      <c r="F202" s="15" t="str">
        <f aca="false">IF(A202="","",A202+7)</f>
        <v/>
      </c>
      <c r="G202" s="17"/>
      <c r="H202" s="16" t="str">
        <f aca="true">IF(A202="","",IF(G202="✓","🟢 Revisado",IF(TODAY()&gt;=F202,"🟡 Revisar","Aguardando")))</f>
        <v/>
      </c>
    </row>
    <row r="203" customFormat="false" ht="15" hidden="false" customHeight="false" outlineLevel="0" collapsed="false">
      <c r="A203" s="30"/>
      <c r="B203" s="17"/>
      <c r="C203" s="18"/>
      <c r="D203" s="18"/>
      <c r="E203" s="18"/>
      <c r="F203" s="15" t="str">
        <f aca="false">IF(A203="","",A203+7)</f>
        <v/>
      </c>
      <c r="G203" s="17"/>
      <c r="H203" s="16" t="str">
        <f aca="true">IF(A203="","",IF(G203="✓","🟢 Revisado",IF(TODAY()&gt;=F203,"🟡 Revisar","Aguardando")))</f>
        <v/>
      </c>
    </row>
    <row r="204" customFormat="false" ht="15" hidden="false" customHeight="false" outlineLevel="0" collapsed="false">
      <c r="A204" s="30"/>
      <c r="B204" s="17"/>
      <c r="C204" s="18"/>
      <c r="D204" s="18"/>
      <c r="E204" s="18"/>
      <c r="F204" s="15" t="str">
        <f aca="false">IF(A204="","",A204+7)</f>
        <v/>
      </c>
      <c r="G204" s="17"/>
      <c r="H204" s="16" t="str">
        <f aca="true">IF(A204="","",IF(G204="✓","🟢 Revisado",IF(TODAY()&gt;=F204,"🟡 Revisar","Aguardando")))</f>
        <v/>
      </c>
    </row>
    <row r="205" customFormat="false" ht="15" hidden="false" customHeight="false" outlineLevel="0" collapsed="false">
      <c r="A205" s="30"/>
      <c r="B205" s="17"/>
      <c r="C205" s="18"/>
      <c r="D205" s="18"/>
      <c r="E205" s="18"/>
      <c r="F205" s="15" t="str">
        <f aca="false">IF(A205="","",A205+7)</f>
        <v/>
      </c>
      <c r="G205" s="17"/>
      <c r="H205" s="16" t="str">
        <f aca="true">IF(A205="","",IF(G205="✓","🟢 Revisado",IF(TODAY()&gt;=F205,"🟡 Revisar","Aguardando")))</f>
        <v/>
      </c>
    </row>
    <row r="206" customFormat="false" ht="15" hidden="false" customHeight="false" outlineLevel="0" collapsed="false">
      <c r="A206" s="30"/>
      <c r="B206" s="17"/>
      <c r="C206" s="18"/>
      <c r="D206" s="18"/>
      <c r="E206" s="18"/>
      <c r="F206" s="15" t="str">
        <f aca="false">IF(A206="","",A206+7)</f>
        <v/>
      </c>
      <c r="G206" s="17"/>
      <c r="H206" s="16" t="str">
        <f aca="true">IF(A206="","",IF(G206="✓","🟢 Revisado",IF(TODAY()&gt;=F206,"🟡 Revisar","Aguardando")))</f>
        <v/>
      </c>
    </row>
    <row r="207" customFormat="false" ht="15" hidden="false" customHeight="false" outlineLevel="0" collapsed="false">
      <c r="A207" s="30"/>
      <c r="B207" s="17"/>
      <c r="C207" s="18"/>
      <c r="D207" s="18"/>
      <c r="E207" s="18"/>
      <c r="F207" s="15" t="str">
        <f aca="false">IF(A207="","",A207+7)</f>
        <v/>
      </c>
      <c r="G207" s="17"/>
      <c r="H207" s="16" t="str">
        <f aca="true">IF(A207="","",IF(G207="✓","🟢 Revisado",IF(TODAY()&gt;=F207,"🟡 Revisar","Aguardando")))</f>
        <v/>
      </c>
    </row>
    <row r="208" customFormat="false" ht="15" hidden="false" customHeight="false" outlineLevel="0" collapsed="false">
      <c r="A208" s="30"/>
      <c r="B208" s="17"/>
      <c r="C208" s="18"/>
      <c r="D208" s="18"/>
      <c r="E208" s="18"/>
      <c r="F208" s="15" t="str">
        <f aca="false">IF(A208="","",A208+7)</f>
        <v/>
      </c>
      <c r="G208" s="17"/>
      <c r="H208" s="16" t="str">
        <f aca="true">IF(A208="","",IF(G208="✓","🟢 Revisado",IF(TODAY()&gt;=F208,"🟡 Revisar","Aguardando")))</f>
        <v/>
      </c>
    </row>
    <row r="209" customFormat="false" ht="15" hidden="false" customHeight="false" outlineLevel="0" collapsed="false">
      <c r="A209" s="30"/>
      <c r="B209" s="17"/>
      <c r="C209" s="18"/>
      <c r="D209" s="18"/>
      <c r="E209" s="18"/>
      <c r="F209" s="15" t="str">
        <f aca="false">IF(A209="","",A209+7)</f>
        <v/>
      </c>
      <c r="G209" s="17"/>
      <c r="H209" s="16" t="str">
        <f aca="true">IF(A209="","",IF(G209="✓","🟢 Revisado",IF(TODAY()&gt;=F209,"🟡 Revisar","Aguardando")))</f>
        <v/>
      </c>
    </row>
    <row r="210" customFormat="false" ht="15" hidden="false" customHeight="false" outlineLevel="0" collapsed="false">
      <c r="A210" s="30"/>
      <c r="B210" s="17"/>
      <c r="C210" s="18"/>
      <c r="D210" s="18"/>
      <c r="E210" s="18"/>
      <c r="F210" s="15" t="str">
        <f aca="false">IF(A210="","",A210+7)</f>
        <v/>
      </c>
      <c r="G210" s="17"/>
      <c r="H210" s="16" t="str">
        <f aca="true">IF(A210="","",IF(G210="✓","🟢 Revisado",IF(TODAY()&gt;=F210,"🟡 Revisar","Aguardando")))</f>
        <v/>
      </c>
    </row>
    <row r="211" customFormat="false" ht="15" hidden="false" customHeight="false" outlineLevel="0" collapsed="false">
      <c r="A211" s="30"/>
      <c r="B211" s="17"/>
      <c r="C211" s="18"/>
      <c r="D211" s="18"/>
      <c r="E211" s="18"/>
      <c r="F211" s="15" t="str">
        <f aca="false">IF(A211="","",A211+7)</f>
        <v/>
      </c>
      <c r="G211" s="17"/>
      <c r="H211" s="16" t="str">
        <f aca="true">IF(A211="","",IF(G211="✓","🟢 Revisado",IF(TODAY()&gt;=F211,"🟡 Revisar","Aguardando")))</f>
        <v/>
      </c>
    </row>
    <row r="212" customFormat="false" ht="15" hidden="false" customHeight="false" outlineLevel="0" collapsed="false">
      <c r="A212" s="30"/>
      <c r="B212" s="17"/>
      <c r="C212" s="18"/>
      <c r="D212" s="18"/>
      <c r="E212" s="18"/>
      <c r="F212" s="15" t="str">
        <f aca="false">IF(A212="","",A212+7)</f>
        <v/>
      </c>
      <c r="G212" s="17"/>
      <c r="H212" s="16" t="str">
        <f aca="true">IF(A212="","",IF(G212="✓","🟢 Revisado",IF(TODAY()&gt;=F212,"🟡 Revisar","Aguardando")))</f>
        <v/>
      </c>
    </row>
    <row r="213" customFormat="false" ht="15" hidden="false" customHeight="false" outlineLevel="0" collapsed="false">
      <c r="A213" s="30"/>
      <c r="B213" s="17"/>
      <c r="C213" s="18"/>
      <c r="D213" s="18"/>
      <c r="E213" s="18"/>
      <c r="F213" s="15" t="str">
        <f aca="false">IF(A213="","",A213+7)</f>
        <v/>
      </c>
      <c r="G213" s="17"/>
      <c r="H213" s="16" t="str">
        <f aca="true">IF(A213="","",IF(G213="✓","🟢 Revisado",IF(TODAY()&gt;=F213,"🟡 Revisar","Aguardando")))</f>
        <v/>
      </c>
    </row>
    <row r="214" customFormat="false" ht="15" hidden="false" customHeight="false" outlineLevel="0" collapsed="false">
      <c r="A214" s="30"/>
      <c r="B214" s="17"/>
      <c r="C214" s="18"/>
      <c r="D214" s="18"/>
      <c r="E214" s="18"/>
      <c r="F214" s="15" t="str">
        <f aca="false">IF(A214="","",A214+7)</f>
        <v/>
      </c>
      <c r="G214" s="17"/>
      <c r="H214" s="16" t="str">
        <f aca="true">IF(A214="","",IF(G214="✓","🟢 Revisado",IF(TODAY()&gt;=F214,"🟡 Revisar","Aguardando")))</f>
        <v/>
      </c>
    </row>
    <row r="215" customFormat="false" ht="15" hidden="false" customHeight="false" outlineLevel="0" collapsed="false">
      <c r="A215" s="30"/>
      <c r="B215" s="17"/>
      <c r="C215" s="18"/>
      <c r="D215" s="18"/>
      <c r="E215" s="18"/>
      <c r="F215" s="15" t="str">
        <f aca="false">IF(A215="","",A215+7)</f>
        <v/>
      </c>
      <c r="G215" s="17"/>
      <c r="H215" s="16" t="str">
        <f aca="true">IF(A215="","",IF(G215="✓","🟢 Revisado",IF(TODAY()&gt;=F215,"🟡 Revisar","Aguardando")))</f>
        <v/>
      </c>
    </row>
    <row r="216" customFormat="false" ht="15" hidden="false" customHeight="false" outlineLevel="0" collapsed="false">
      <c r="A216" s="30"/>
      <c r="B216" s="17"/>
      <c r="C216" s="18"/>
      <c r="D216" s="18"/>
      <c r="E216" s="18"/>
      <c r="F216" s="15" t="str">
        <f aca="false">IF(A216="","",A216+7)</f>
        <v/>
      </c>
      <c r="G216" s="17"/>
      <c r="H216" s="16" t="str">
        <f aca="true">IF(A216="","",IF(G216="✓","🟢 Revisado",IF(TODAY()&gt;=F216,"🟡 Revisar","Aguardando")))</f>
        <v/>
      </c>
    </row>
    <row r="217" customFormat="false" ht="15" hidden="false" customHeight="false" outlineLevel="0" collapsed="false">
      <c r="A217" s="30"/>
      <c r="B217" s="17"/>
      <c r="C217" s="18"/>
      <c r="D217" s="18"/>
      <c r="E217" s="18"/>
      <c r="F217" s="15" t="str">
        <f aca="false">IF(A217="","",A217+7)</f>
        <v/>
      </c>
      <c r="G217" s="17"/>
      <c r="H217" s="16" t="str">
        <f aca="true">IF(A217="","",IF(G217="✓","🟢 Revisado",IF(TODAY()&gt;=F217,"🟡 Revisar","Aguardando")))</f>
        <v/>
      </c>
    </row>
    <row r="218" customFormat="false" ht="15" hidden="false" customHeight="false" outlineLevel="0" collapsed="false">
      <c r="A218" s="30"/>
      <c r="B218" s="17"/>
      <c r="C218" s="18"/>
      <c r="D218" s="18"/>
      <c r="E218" s="18"/>
      <c r="F218" s="15" t="str">
        <f aca="false">IF(A218="","",A218+7)</f>
        <v/>
      </c>
      <c r="G218" s="17"/>
      <c r="H218" s="16" t="str">
        <f aca="true">IF(A218="","",IF(G218="✓","🟢 Revisado",IF(TODAY()&gt;=F218,"🟡 Revisar","Aguardando")))</f>
        <v/>
      </c>
    </row>
    <row r="219" customFormat="false" ht="15" hidden="false" customHeight="false" outlineLevel="0" collapsed="false">
      <c r="A219" s="30"/>
      <c r="B219" s="17"/>
      <c r="C219" s="18"/>
      <c r="D219" s="18"/>
      <c r="E219" s="18"/>
      <c r="F219" s="15" t="str">
        <f aca="false">IF(A219="","",A219+7)</f>
        <v/>
      </c>
      <c r="G219" s="17"/>
      <c r="H219" s="16" t="str">
        <f aca="true">IF(A219="","",IF(G219="✓","🟢 Revisado",IF(TODAY()&gt;=F219,"🟡 Revisar","Aguardando")))</f>
        <v/>
      </c>
    </row>
    <row r="220" customFormat="false" ht="15" hidden="false" customHeight="false" outlineLevel="0" collapsed="false">
      <c r="A220" s="30"/>
      <c r="B220" s="17"/>
      <c r="C220" s="18"/>
      <c r="D220" s="18"/>
      <c r="E220" s="18"/>
      <c r="F220" s="15" t="str">
        <f aca="false">IF(A220="","",A220+7)</f>
        <v/>
      </c>
      <c r="G220" s="17"/>
      <c r="H220" s="16" t="str">
        <f aca="true">IF(A220="","",IF(G220="✓","🟢 Revisado",IF(TODAY()&gt;=F220,"🟡 Revisar","Aguardando")))</f>
        <v/>
      </c>
    </row>
    <row r="221" customFormat="false" ht="15" hidden="false" customHeight="false" outlineLevel="0" collapsed="false">
      <c r="A221" s="30"/>
      <c r="B221" s="17"/>
      <c r="C221" s="18"/>
      <c r="D221" s="18"/>
      <c r="E221" s="18"/>
      <c r="F221" s="15" t="str">
        <f aca="false">IF(A221="","",A221+7)</f>
        <v/>
      </c>
      <c r="G221" s="17"/>
      <c r="H221" s="16" t="str">
        <f aca="true">IF(A221="","",IF(G221="✓","🟢 Revisado",IF(TODAY()&gt;=F221,"🟡 Revisar","Aguardando")))</f>
        <v/>
      </c>
    </row>
    <row r="222" customFormat="false" ht="15" hidden="false" customHeight="false" outlineLevel="0" collapsed="false">
      <c r="A222" s="30"/>
      <c r="B222" s="17"/>
      <c r="C222" s="18"/>
      <c r="D222" s="18"/>
      <c r="E222" s="18"/>
      <c r="F222" s="15" t="str">
        <f aca="false">IF(A222="","",A222+7)</f>
        <v/>
      </c>
      <c r="G222" s="17"/>
      <c r="H222" s="16" t="str">
        <f aca="true">IF(A222="","",IF(G222="✓","🟢 Revisado",IF(TODAY()&gt;=F222,"🟡 Revisar","Aguardando")))</f>
        <v/>
      </c>
    </row>
    <row r="223" customFormat="false" ht="15" hidden="false" customHeight="false" outlineLevel="0" collapsed="false">
      <c r="A223" s="30"/>
      <c r="B223" s="17"/>
      <c r="C223" s="18"/>
      <c r="D223" s="18"/>
      <c r="E223" s="18"/>
      <c r="F223" s="15" t="str">
        <f aca="false">IF(A223="","",A223+7)</f>
        <v/>
      </c>
      <c r="G223" s="17"/>
      <c r="H223" s="16" t="str">
        <f aca="true">IF(A223="","",IF(G223="✓","🟢 Revisado",IF(TODAY()&gt;=F223,"🟡 Revisar","Aguardando")))</f>
        <v/>
      </c>
    </row>
    <row r="224" customFormat="false" ht="15" hidden="false" customHeight="false" outlineLevel="0" collapsed="false">
      <c r="A224" s="30"/>
      <c r="B224" s="17"/>
      <c r="C224" s="18"/>
      <c r="D224" s="18"/>
      <c r="E224" s="18"/>
      <c r="F224" s="15" t="str">
        <f aca="false">IF(A224="","",A224+7)</f>
        <v/>
      </c>
      <c r="G224" s="17"/>
      <c r="H224" s="16" t="str">
        <f aca="true">IF(A224="","",IF(G224="✓","🟢 Revisado",IF(TODAY()&gt;=F224,"🟡 Revisar","Aguardando")))</f>
        <v/>
      </c>
    </row>
    <row r="225" customFormat="false" ht="15" hidden="false" customHeight="false" outlineLevel="0" collapsed="false">
      <c r="A225" s="30"/>
      <c r="B225" s="17"/>
      <c r="C225" s="18"/>
      <c r="D225" s="18"/>
      <c r="E225" s="18"/>
      <c r="F225" s="15" t="str">
        <f aca="false">IF(A225="","",A225+7)</f>
        <v/>
      </c>
      <c r="G225" s="17"/>
      <c r="H225" s="16" t="str">
        <f aca="true">IF(A225="","",IF(G225="✓","🟢 Revisado",IF(TODAY()&gt;=F225,"🟡 Revisar","Aguardando")))</f>
        <v/>
      </c>
    </row>
    <row r="226" customFormat="false" ht="15" hidden="false" customHeight="false" outlineLevel="0" collapsed="false">
      <c r="A226" s="30"/>
      <c r="B226" s="17"/>
      <c r="C226" s="18"/>
      <c r="D226" s="18"/>
      <c r="E226" s="18"/>
      <c r="F226" s="15" t="str">
        <f aca="false">IF(A226="","",A226+7)</f>
        <v/>
      </c>
      <c r="G226" s="17"/>
      <c r="H226" s="16" t="str">
        <f aca="true">IF(A226="","",IF(G226="✓","🟢 Revisado",IF(TODAY()&gt;=F226,"🟡 Revisar","Aguardando")))</f>
        <v/>
      </c>
    </row>
    <row r="227" customFormat="false" ht="15" hidden="false" customHeight="false" outlineLevel="0" collapsed="false">
      <c r="A227" s="30"/>
      <c r="B227" s="17"/>
      <c r="C227" s="18"/>
      <c r="D227" s="18"/>
      <c r="E227" s="18"/>
      <c r="F227" s="15" t="str">
        <f aca="false">IF(A227="","",A227+7)</f>
        <v/>
      </c>
      <c r="G227" s="17"/>
      <c r="H227" s="16" t="str">
        <f aca="true">IF(A227="","",IF(G227="✓","🟢 Revisado",IF(TODAY()&gt;=F227,"🟡 Revisar","Aguardando")))</f>
        <v/>
      </c>
    </row>
    <row r="228" customFormat="false" ht="15" hidden="false" customHeight="false" outlineLevel="0" collapsed="false">
      <c r="A228" s="30"/>
      <c r="B228" s="17"/>
      <c r="C228" s="18"/>
      <c r="D228" s="18"/>
      <c r="E228" s="18"/>
      <c r="F228" s="15" t="str">
        <f aca="false">IF(A228="","",A228+7)</f>
        <v/>
      </c>
      <c r="G228" s="17"/>
      <c r="H228" s="16" t="str">
        <f aca="true">IF(A228="","",IF(G228="✓","🟢 Revisado",IF(TODAY()&gt;=F228,"🟡 Revisar","Aguardando")))</f>
        <v/>
      </c>
    </row>
    <row r="229" customFormat="false" ht="15" hidden="false" customHeight="false" outlineLevel="0" collapsed="false">
      <c r="A229" s="30"/>
      <c r="B229" s="17"/>
      <c r="C229" s="18"/>
      <c r="D229" s="18"/>
      <c r="E229" s="18"/>
      <c r="F229" s="15" t="str">
        <f aca="false">IF(A229="","",A229+7)</f>
        <v/>
      </c>
      <c r="G229" s="17"/>
      <c r="H229" s="16" t="str">
        <f aca="true">IF(A229="","",IF(G229="✓","🟢 Revisado",IF(TODAY()&gt;=F229,"🟡 Revisar","Aguardando")))</f>
        <v/>
      </c>
    </row>
    <row r="230" customFormat="false" ht="15" hidden="false" customHeight="false" outlineLevel="0" collapsed="false">
      <c r="A230" s="30"/>
      <c r="B230" s="17"/>
      <c r="C230" s="18"/>
      <c r="D230" s="18"/>
      <c r="E230" s="18"/>
      <c r="F230" s="15" t="str">
        <f aca="false">IF(A230="","",A230+7)</f>
        <v/>
      </c>
      <c r="G230" s="17"/>
      <c r="H230" s="16" t="str">
        <f aca="true">IF(A230="","",IF(G230="✓","🟢 Revisado",IF(TODAY()&gt;=F230,"🟡 Revisar","Aguardando")))</f>
        <v/>
      </c>
    </row>
    <row r="231" customFormat="false" ht="15" hidden="false" customHeight="false" outlineLevel="0" collapsed="false">
      <c r="A231" s="30"/>
      <c r="B231" s="17"/>
      <c r="C231" s="18"/>
      <c r="D231" s="18"/>
      <c r="E231" s="18"/>
      <c r="F231" s="15" t="str">
        <f aca="false">IF(A231="","",A231+7)</f>
        <v/>
      </c>
      <c r="G231" s="17"/>
      <c r="H231" s="16" t="str">
        <f aca="true">IF(A231="","",IF(G231="✓","🟢 Revisado",IF(TODAY()&gt;=F231,"🟡 Revisar","Aguardando")))</f>
        <v/>
      </c>
    </row>
    <row r="232" customFormat="false" ht="15" hidden="false" customHeight="false" outlineLevel="0" collapsed="false">
      <c r="A232" s="30"/>
      <c r="B232" s="17"/>
      <c r="C232" s="18"/>
      <c r="D232" s="18"/>
      <c r="E232" s="18"/>
      <c r="F232" s="15" t="str">
        <f aca="false">IF(A232="","",A232+7)</f>
        <v/>
      </c>
      <c r="G232" s="17"/>
      <c r="H232" s="16" t="str">
        <f aca="true">IF(A232="","",IF(G232="✓","🟢 Revisado",IF(TODAY()&gt;=F232,"🟡 Revisar","Aguardando")))</f>
        <v/>
      </c>
    </row>
    <row r="233" customFormat="false" ht="15" hidden="false" customHeight="false" outlineLevel="0" collapsed="false">
      <c r="A233" s="30"/>
      <c r="B233" s="17"/>
      <c r="C233" s="18"/>
      <c r="D233" s="18"/>
      <c r="E233" s="18"/>
      <c r="F233" s="15" t="str">
        <f aca="false">IF(A233="","",A233+7)</f>
        <v/>
      </c>
      <c r="G233" s="17"/>
      <c r="H233" s="16" t="str">
        <f aca="true">IF(A233="","",IF(G233="✓","🟢 Revisado",IF(TODAY()&gt;=F233,"🟡 Revisar","Aguardando")))</f>
        <v/>
      </c>
    </row>
    <row r="234" customFormat="false" ht="15" hidden="false" customHeight="false" outlineLevel="0" collapsed="false">
      <c r="A234" s="30"/>
      <c r="B234" s="17"/>
      <c r="C234" s="18"/>
      <c r="D234" s="18"/>
      <c r="E234" s="18"/>
      <c r="F234" s="15" t="str">
        <f aca="false">IF(A234="","",A234+7)</f>
        <v/>
      </c>
      <c r="G234" s="17"/>
      <c r="H234" s="16" t="str">
        <f aca="true">IF(A234="","",IF(G234="✓","🟢 Revisado",IF(TODAY()&gt;=F234,"🟡 Revisar","Aguardando")))</f>
        <v/>
      </c>
    </row>
    <row r="235" customFormat="false" ht="15" hidden="false" customHeight="false" outlineLevel="0" collapsed="false">
      <c r="A235" s="30"/>
      <c r="B235" s="17"/>
      <c r="C235" s="18"/>
      <c r="D235" s="18"/>
      <c r="E235" s="18"/>
      <c r="F235" s="15" t="str">
        <f aca="false">IF(A235="","",A235+7)</f>
        <v/>
      </c>
      <c r="G235" s="17"/>
      <c r="H235" s="16" t="str">
        <f aca="true">IF(A235="","",IF(G235="✓","🟢 Revisado",IF(TODAY()&gt;=F235,"🟡 Revisar","Aguardando")))</f>
        <v/>
      </c>
    </row>
    <row r="236" customFormat="false" ht="15" hidden="false" customHeight="false" outlineLevel="0" collapsed="false">
      <c r="A236" s="30"/>
      <c r="B236" s="17"/>
      <c r="C236" s="18"/>
      <c r="D236" s="18"/>
      <c r="E236" s="18"/>
      <c r="F236" s="15" t="str">
        <f aca="false">IF(A236="","",A236+7)</f>
        <v/>
      </c>
      <c r="G236" s="17"/>
      <c r="H236" s="16" t="str">
        <f aca="true">IF(A236="","",IF(G236="✓","🟢 Revisado",IF(TODAY()&gt;=F236,"🟡 Revisar","Aguardando")))</f>
        <v/>
      </c>
    </row>
    <row r="237" customFormat="false" ht="15" hidden="false" customHeight="false" outlineLevel="0" collapsed="false">
      <c r="A237" s="30"/>
      <c r="B237" s="17"/>
      <c r="C237" s="18"/>
      <c r="D237" s="18"/>
      <c r="E237" s="18"/>
      <c r="F237" s="15" t="str">
        <f aca="false">IF(A237="","",A237+7)</f>
        <v/>
      </c>
      <c r="G237" s="17"/>
      <c r="H237" s="16" t="str">
        <f aca="true">IF(A237="","",IF(G237="✓","🟢 Revisado",IF(TODAY()&gt;=F237,"🟡 Revisar","Aguardando")))</f>
        <v/>
      </c>
    </row>
    <row r="238" customFormat="false" ht="15" hidden="false" customHeight="false" outlineLevel="0" collapsed="false">
      <c r="A238" s="30"/>
      <c r="B238" s="17"/>
      <c r="C238" s="18"/>
      <c r="D238" s="18"/>
      <c r="E238" s="18"/>
      <c r="F238" s="15" t="str">
        <f aca="false">IF(A238="","",A238+7)</f>
        <v/>
      </c>
      <c r="G238" s="17"/>
      <c r="H238" s="16" t="str">
        <f aca="true">IF(A238="","",IF(G238="✓","🟢 Revisado",IF(TODAY()&gt;=F238,"🟡 Revisar","Aguardando")))</f>
        <v/>
      </c>
    </row>
    <row r="239" customFormat="false" ht="15" hidden="false" customHeight="false" outlineLevel="0" collapsed="false">
      <c r="A239" s="30"/>
      <c r="B239" s="17"/>
      <c r="C239" s="18"/>
      <c r="D239" s="18"/>
      <c r="E239" s="18"/>
      <c r="F239" s="15" t="str">
        <f aca="false">IF(A239="","",A239+7)</f>
        <v/>
      </c>
      <c r="G239" s="17"/>
      <c r="H239" s="16" t="str">
        <f aca="true">IF(A239="","",IF(G239="✓","🟢 Revisado",IF(TODAY()&gt;=F239,"🟡 Revisar","Aguardando")))</f>
        <v/>
      </c>
    </row>
    <row r="240" customFormat="false" ht="15" hidden="false" customHeight="false" outlineLevel="0" collapsed="false">
      <c r="A240" s="30"/>
      <c r="B240" s="17"/>
      <c r="C240" s="18"/>
      <c r="D240" s="18"/>
      <c r="E240" s="18"/>
      <c r="F240" s="15" t="str">
        <f aca="false">IF(A240="","",A240+7)</f>
        <v/>
      </c>
      <c r="G240" s="17"/>
      <c r="H240" s="16" t="str">
        <f aca="true">IF(A240="","",IF(G240="✓","🟢 Revisado",IF(TODAY()&gt;=F240,"🟡 Revisar","Aguardando")))</f>
        <v/>
      </c>
    </row>
    <row r="241" customFormat="false" ht="15" hidden="false" customHeight="false" outlineLevel="0" collapsed="false">
      <c r="A241" s="30"/>
      <c r="B241" s="17"/>
      <c r="C241" s="18"/>
      <c r="D241" s="18"/>
      <c r="E241" s="18"/>
      <c r="F241" s="15" t="str">
        <f aca="false">IF(A241="","",A241+7)</f>
        <v/>
      </c>
      <c r="G241" s="17"/>
      <c r="H241" s="16" t="str">
        <f aca="true">IF(A241="","",IF(G241="✓","🟢 Revisado",IF(TODAY()&gt;=F241,"🟡 Revisar","Aguardando")))</f>
        <v/>
      </c>
    </row>
    <row r="242" customFormat="false" ht="15" hidden="false" customHeight="false" outlineLevel="0" collapsed="false">
      <c r="A242" s="30"/>
      <c r="B242" s="17"/>
      <c r="C242" s="18"/>
      <c r="D242" s="18"/>
      <c r="E242" s="18"/>
      <c r="F242" s="15" t="str">
        <f aca="false">IF(A242="","",A242+7)</f>
        <v/>
      </c>
      <c r="G242" s="17"/>
      <c r="H242" s="16" t="str">
        <f aca="true">IF(A242="","",IF(G242="✓","🟢 Revisado",IF(TODAY()&gt;=F242,"🟡 Revisar","Aguardando")))</f>
        <v/>
      </c>
    </row>
    <row r="243" customFormat="false" ht="15" hidden="false" customHeight="false" outlineLevel="0" collapsed="false">
      <c r="A243" s="30"/>
      <c r="B243" s="17"/>
      <c r="C243" s="18"/>
      <c r="D243" s="18"/>
      <c r="E243" s="18"/>
      <c r="F243" s="15" t="str">
        <f aca="false">IF(A243="","",A243+7)</f>
        <v/>
      </c>
      <c r="G243" s="17"/>
      <c r="H243" s="16" t="str">
        <f aca="true">IF(A243="","",IF(G243="✓","🟢 Revisado",IF(TODAY()&gt;=F243,"🟡 Revisar","Aguardando")))</f>
        <v/>
      </c>
    </row>
    <row r="244" customFormat="false" ht="15" hidden="false" customHeight="false" outlineLevel="0" collapsed="false">
      <c r="A244" s="30"/>
      <c r="B244" s="17"/>
      <c r="C244" s="18"/>
      <c r="D244" s="18"/>
      <c r="E244" s="18"/>
      <c r="F244" s="15" t="str">
        <f aca="false">IF(A244="","",A244+7)</f>
        <v/>
      </c>
      <c r="G244" s="17"/>
      <c r="H244" s="16" t="str">
        <f aca="true">IF(A244="","",IF(G244="✓","🟢 Revisado",IF(TODAY()&gt;=F244,"🟡 Revisar","Aguardando")))</f>
        <v/>
      </c>
    </row>
    <row r="245" customFormat="false" ht="15" hidden="false" customHeight="false" outlineLevel="0" collapsed="false">
      <c r="A245" s="30"/>
      <c r="B245" s="17"/>
      <c r="C245" s="18"/>
      <c r="D245" s="18"/>
      <c r="E245" s="18"/>
      <c r="F245" s="15" t="str">
        <f aca="false">IF(A245="","",A245+7)</f>
        <v/>
      </c>
      <c r="G245" s="17"/>
      <c r="H245" s="16" t="str">
        <f aca="true">IF(A245="","",IF(G245="✓","🟢 Revisado",IF(TODAY()&gt;=F245,"🟡 Revisar","Aguardando")))</f>
        <v/>
      </c>
    </row>
    <row r="246" customFormat="false" ht="15" hidden="false" customHeight="false" outlineLevel="0" collapsed="false">
      <c r="A246" s="30"/>
      <c r="B246" s="17"/>
      <c r="C246" s="18"/>
      <c r="D246" s="18"/>
      <c r="E246" s="18"/>
      <c r="F246" s="15" t="str">
        <f aca="false">IF(A246="","",A246+7)</f>
        <v/>
      </c>
      <c r="G246" s="17"/>
      <c r="H246" s="16" t="str">
        <f aca="true">IF(A246="","",IF(G246="✓","🟢 Revisado",IF(TODAY()&gt;=F246,"🟡 Revisar","Aguardando")))</f>
        <v/>
      </c>
    </row>
    <row r="247" customFormat="false" ht="15" hidden="false" customHeight="false" outlineLevel="0" collapsed="false">
      <c r="A247" s="30"/>
      <c r="B247" s="17"/>
      <c r="C247" s="18"/>
      <c r="D247" s="18"/>
      <c r="E247" s="18"/>
      <c r="F247" s="15" t="str">
        <f aca="false">IF(A247="","",A247+7)</f>
        <v/>
      </c>
      <c r="G247" s="17"/>
      <c r="H247" s="16" t="str">
        <f aca="true">IF(A247="","",IF(G247="✓","🟢 Revisado",IF(TODAY()&gt;=F247,"🟡 Revisar","Aguardando")))</f>
        <v/>
      </c>
    </row>
    <row r="248" customFormat="false" ht="15" hidden="false" customHeight="false" outlineLevel="0" collapsed="false">
      <c r="A248" s="30"/>
      <c r="B248" s="17"/>
      <c r="C248" s="18"/>
      <c r="D248" s="18"/>
      <c r="E248" s="18"/>
      <c r="F248" s="15" t="str">
        <f aca="false">IF(A248="","",A248+7)</f>
        <v/>
      </c>
      <c r="G248" s="17"/>
      <c r="H248" s="16" t="str">
        <f aca="true">IF(A248="","",IF(G248="✓","🟢 Revisado",IF(TODAY()&gt;=F248,"🟡 Revisar","Aguardando")))</f>
        <v/>
      </c>
    </row>
    <row r="249" customFormat="false" ht="15" hidden="false" customHeight="false" outlineLevel="0" collapsed="false">
      <c r="A249" s="30"/>
      <c r="B249" s="17"/>
      <c r="C249" s="18"/>
      <c r="D249" s="18"/>
      <c r="E249" s="18"/>
      <c r="F249" s="15" t="str">
        <f aca="false">IF(A249="","",A249+7)</f>
        <v/>
      </c>
      <c r="G249" s="17"/>
      <c r="H249" s="16" t="str">
        <f aca="true">IF(A249="","",IF(G249="✓","🟢 Revisado",IF(TODAY()&gt;=F249,"🟡 Revisar","Aguardando")))</f>
        <v/>
      </c>
    </row>
    <row r="250" customFormat="false" ht="15" hidden="false" customHeight="false" outlineLevel="0" collapsed="false">
      <c r="A250" s="30"/>
      <c r="B250" s="17"/>
      <c r="C250" s="18"/>
      <c r="D250" s="18"/>
      <c r="E250" s="18"/>
      <c r="F250" s="15" t="str">
        <f aca="false">IF(A250="","",A250+7)</f>
        <v/>
      </c>
      <c r="G250" s="17"/>
      <c r="H250" s="16" t="str">
        <f aca="true">IF(A250="","",IF(G250="✓","🟢 Revisado",IF(TODAY()&gt;=F250,"🟡 Revisar","Aguardando")))</f>
        <v/>
      </c>
    </row>
    <row r="251" customFormat="false" ht="15" hidden="false" customHeight="false" outlineLevel="0" collapsed="false">
      <c r="A251" s="30"/>
      <c r="B251" s="17"/>
      <c r="C251" s="18"/>
      <c r="D251" s="18"/>
      <c r="E251" s="18"/>
      <c r="F251" s="15" t="str">
        <f aca="false">IF(A251="","",A251+7)</f>
        <v/>
      </c>
      <c r="G251" s="17"/>
      <c r="H251" s="16" t="str">
        <f aca="true">IF(A251="","",IF(G251="✓","🟢 Revisado",IF(TODAY()&gt;=F251,"🟡 Revisar","Aguardando")))</f>
        <v/>
      </c>
    </row>
    <row r="252" customFormat="false" ht="15" hidden="false" customHeight="false" outlineLevel="0" collapsed="false">
      <c r="A252" s="30"/>
      <c r="B252" s="17"/>
      <c r="C252" s="18"/>
      <c r="D252" s="18"/>
      <c r="E252" s="18"/>
      <c r="F252" s="15" t="str">
        <f aca="false">IF(A252="","",A252+7)</f>
        <v/>
      </c>
      <c r="G252" s="17"/>
      <c r="H252" s="16" t="str">
        <f aca="true">IF(A252="","",IF(G252="✓","🟢 Revisado",IF(TODAY()&gt;=F252,"🟡 Revisar","Aguardando")))</f>
        <v/>
      </c>
    </row>
    <row r="253" customFormat="false" ht="15" hidden="false" customHeight="false" outlineLevel="0" collapsed="false">
      <c r="A253" s="30"/>
      <c r="B253" s="17"/>
      <c r="C253" s="18"/>
      <c r="D253" s="18"/>
      <c r="E253" s="18"/>
      <c r="F253" s="15" t="str">
        <f aca="false">IF(A253="","",A253+7)</f>
        <v/>
      </c>
      <c r="G253" s="17"/>
      <c r="H253" s="16" t="str">
        <f aca="true">IF(A253="","",IF(G253="✓","🟢 Revisado",IF(TODAY()&gt;=F253,"🟡 Revisar","Aguardando")))</f>
        <v/>
      </c>
    </row>
    <row r="254" customFormat="false" ht="15" hidden="false" customHeight="false" outlineLevel="0" collapsed="false">
      <c r="A254" s="30"/>
      <c r="B254" s="17"/>
      <c r="C254" s="18"/>
      <c r="D254" s="18"/>
      <c r="E254" s="18"/>
      <c r="F254" s="15" t="str">
        <f aca="false">IF(A254="","",A254+7)</f>
        <v/>
      </c>
      <c r="G254" s="17"/>
      <c r="H254" s="16" t="str">
        <f aca="true">IF(A254="","",IF(G254="✓","🟢 Revisado",IF(TODAY()&gt;=F254,"🟡 Revisar","Aguardando")))</f>
        <v/>
      </c>
    </row>
    <row r="255" customFormat="false" ht="15" hidden="false" customHeight="false" outlineLevel="0" collapsed="false">
      <c r="A255" s="30"/>
      <c r="B255" s="17"/>
      <c r="C255" s="18"/>
      <c r="D255" s="18"/>
      <c r="E255" s="18"/>
      <c r="F255" s="15" t="str">
        <f aca="false">IF(A255="","",A255+7)</f>
        <v/>
      </c>
      <c r="G255" s="17"/>
      <c r="H255" s="16" t="str">
        <f aca="true">IF(A255="","",IF(G255="✓","🟢 Revisado",IF(TODAY()&gt;=F255,"🟡 Revisar","Aguardando")))</f>
        <v/>
      </c>
    </row>
    <row r="256" customFormat="false" ht="15" hidden="false" customHeight="false" outlineLevel="0" collapsed="false">
      <c r="A256" s="30"/>
      <c r="B256" s="17"/>
      <c r="C256" s="18"/>
      <c r="D256" s="18"/>
      <c r="E256" s="18"/>
      <c r="F256" s="15" t="str">
        <f aca="false">IF(A256="","",A256+7)</f>
        <v/>
      </c>
      <c r="G256" s="17"/>
      <c r="H256" s="16" t="str">
        <f aca="true">IF(A256="","",IF(G256="✓","🟢 Revisado",IF(TODAY()&gt;=F256,"🟡 Revisar","Aguardando")))</f>
        <v/>
      </c>
    </row>
    <row r="257" customFormat="false" ht="15" hidden="false" customHeight="false" outlineLevel="0" collapsed="false">
      <c r="A257" s="30"/>
      <c r="B257" s="17"/>
      <c r="C257" s="18"/>
      <c r="D257" s="18"/>
      <c r="E257" s="18"/>
      <c r="F257" s="15" t="str">
        <f aca="false">IF(A257="","",A257+7)</f>
        <v/>
      </c>
      <c r="G257" s="17"/>
      <c r="H257" s="16" t="str">
        <f aca="true">IF(A257="","",IF(G257="✓","🟢 Revisado",IF(TODAY()&gt;=F257,"🟡 Revisar","Aguardando")))</f>
        <v/>
      </c>
    </row>
    <row r="258" customFormat="false" ht="15" hidden="false" customHeight="false" outlineLevel="0" collapsed="false">
      <c r="A258" s="30"/>
      <c r="B258" s="17"/>
      <c r="C258" s="18"/>
      <c r="D258" s="18"/>
      <c r="E258" s="18"/>
      <c r="F258" s="15" t="str">
        <f aca="false">IF(A258="","",A258+7)</f>
        <v/>
      </c>
      <c r="G258" s="17"/>
      <c r="H258" s="16" t="str">
        <f aca="true">IF(A258="","",IF(G258="✓","🟢 Revisado",IF(TODAY()&gt;=F258,"🟡 Revisar","Aguardando")))</f>
        <v/>
      </c>
    </row>
    <row r="259" customFormat="false" ht="15" hidden="false" customHeight="false" outlineLevel="0" collapsed="false">
      <c r="A259" s="30"/>
      <c r="B259" s="17"/>
      <c r="C259" s="18"/>
      <c r="D259" s="18"/>
      <c r="E259" s="18"/>
      <c r="F259" s="15" t="str">
        <f aca="false">IF(A259="","",A259+7)</f>
        <v/>
      </c>
      <c r="G259" s="17"/>
      <c r="H259" s="16" t="str">
        <f aca="true">IF(A259="","",IF(G259="✓","🟢 Revisado",IF(TODAY()&gt;=F259,"🟡 Revisar","Aguardando")))</f>
        <v/>
      </c>
    </row>
    <row r="260" customFormat="false" ht="15" hidden="false" customHeight="false" outlineLevel="0" collapsed="false">
      <c r="A260" s="30"/>
      <c r="B260" s="17"/>
      <c r="C260" s="18"/>
      <c r="D260" s="18"/>
      <c r="E260" s="18"/>
      <c r="F260" s="15" t="str">
        <f aca="false">IF(A260="","",A260+7)</f>
        <v/>
      </c>
      <c r="G260" s="17"/>
      <c r="H260" s="16" t="str">
        <f aca="true">IF(A260="","",IF(G260="✓","🟢 Revisado",IF(TODAY()&gt;=F260,"🟡 Revisar","Aguardando")))</f>
        <v/>
      </c>
    </row>
    <row r="261" customFormat="false" ht="15" hidden="false" customHeight="false" outlineLevel="0" collapsed="false">
      <c r="A261" s="30"/>
      <c r="B261" s="17"/>
      <c r="C261" s="18"/>
      <c r="D261" s="18"/>
      <c r="E261" s="18"/>
      <c r="F261" s="15" t="str">
        <f aca="false">IF(A261="","",A261+7)</f>
        <v/>
      </c>
      <c r="G261" s="17"/>
      <c r="H261" s="16" t="str">
        <f aca="true">IF(A261="","",IF(G261="✓","🟢 Revisado",IF(TODAY()&gt;=F261,"🟡 Revisar","Aguardando")))</f>
        <v/>
      </c>
    </row>
    <row r="262" customFormat="false" ht="15" hidden="false" customHeight="false" outlineLevel="0" collapsed="false">
      <c r="A262" s="30"/>
      <c r="B262" s="17"/>
      <c r="C262" s="18"/>
      <c r="D262" s="18"/>
      <c r="E262" s="18"/>
      <c r="F262" s="15" t="str">
        <f aca="false">IF(A262="","",A262+7)</f>
        <v/>
      </c>
      <c r="G262" s="17"/>
      <c r="H262" s="16" t="str">
        <f aca="true">IF(A262="","",IF(G262="✓","🟢 Revisado",IF(TODAY()&gt;=F262,"🟡 Revisar","Aguardando")))</f>
        <v/>
      </c>
    </row>
    <row r="263" customFormat="false" ht="15" hidden="false" customHeight="false" outlineLevel="0" collapsed="false">
      <c r="A263" s="30"/>
      <c r="B263" s="17"/>
      <c r="C263" s="18"/>
      <c r="D263" s="18"/>
      <c r="E263" s="18"/>
      <c r="F263" s="15" t="str">
        <f aca="false">IF(A263="","",A263+7)</f>
        <v/>
      </c>
      <c r="G263" s="17"/>
      <c r="H263" s="16" t="str">
        <f aca="true">IF(A263="","",IF(G263="✓","🟢 Revisado",IF(TODAY()&gt;=F263,"🟡 Revisar","Aguardando")))</f>
        <v/>
      </c>
    </row>
    <row r="264" customFormat="false" ht="15" hidden="false" customHeight="false" outlineLevel="0" collapsed="false">
      <c r="A264" s="30"/>
      <c r="B264" s="17"/>
      <c r="C264" s="18"/>
      <c r="D264" s="18"/>
      <c r="E264" s="18"/>
      <c r="F264" s="15" t="str">
        <f aca="false">IF(A264="","",A264+7)</f>
        <v/>
      </c>
      <c r="G264" s="17"/>
      <c r="H264" s="16" t="str">
        <f aca="true">IF(A264="","",IF(G264="✓","🟢 Revisado",IF(TODAY()&gt;=F264,"🟡 Revisar","Aguardando")))</f>
        <v/>
      </c>
    </row>
    <row r="265" customFormat="false" ht="15" hidden="false" customHeight="false" outlineLevel="0" collapsed="false">
      <c r="A265" s="30"/>
      <c r="B265" s="17"/>
      <c r="C265" s="18"/>
      <c r="D265" s="18"/>
      <c r="E265" s="18"/>
      <c r="F265" s="15" t="str">
        <f aca="false">IF(A265="","",A265+7)</f>
        <v/>
      </c>
      <c r="G265" s="17"/>
      <c r="H265" s="16" t="str">
        <f aca="true">IF(A265="","",IF(G265="✓","🟢 Revisado",IF(TODAY()&gt;=F265,"🟡 Revisar","Aguardando")))</f>
        <v/>
      </c>
    </row>
    <row r="266" customFormat="false" ht="15" hidden="false" customHeight="false" outlineLevel="0" collapsed="false">
      <c r="A266" s="30"/>
      <c r="B266" s="17"/>
      <c r="C266" s="18"/>
      <c r="D266" s="18"/>
      <c r="E266" s="18"/>
      <c r="F266" s="15" t="str">
        <f aca="false">IF(A266="","",A266+7)</f>
        <v/>
      </c>
      <c r="G266" s="17"/>
      <c r="H266" s="16" t="str">
        <f aca="true">IF(A266="","",IF(G266="✓","🟢 Revisado",IF(TODAY()&gt;=F266,"🟡 Revisar","Aguardando")))</f>
        <v/>
      </c>
    </row>
    <row r="267" customFormat="false" ht="15" hidden="false" customHeight="false" outlineLevel="0" collapsed="false">
      <c r="A267" s="30"/>
      <c r="B267" s="17"/>
      <c r="C267" s="18"/>
      <c r="D267" s="18"/>
      <c r="E267" s="18"/>
      <c r="F267" s="15" t="str">
        <f aca="false">IF(A267="","",A267+7)</f>
        <v/>
      </c>
      <c r="G267" s="17"/>
      <c r="H267" s="16" t="str">
        <f aca="true">IF(A267="","",IF(G267="✓","🟢 Revisado",IF(TODAY()&gt;=F267,"🟡 Revisar","Aguardando")))</f>
        <v/>
      </c>
    </row>
    <row r="268" customFormat="false" ht="15" hidden="false" customHeight="false" outlineLevel="0" collapsed="false">
      <c r="A268" s="30"/>
      <c r="B268" s="17"/>
      <c r="C268" s="18"/>
      <c r="D268" s="18"/>
      <c r="E268" s="18"/>
      <c r="F268" s="15" t="str">
        <f aca="false">IF(A268="","",A268+7)</f>
        <v/>
      </c>
      <c r="G268" s="17"/>
      <c r="H268" s="16" t="str">
        <f aca="true">IF(A268="","",IF(G268="✓","🟢 Revisado",IF(TODAY()&gt;=F268,"🟡 Revisar","Aguardando")))</f>
        <v/>
      </c>
    </row>
    <row r="269" customFormat="false" ht="15" hidden="false" customHeight="false" outlineLevel="0" collapsed="false">
      <c r="A269" s="30"/>
      <c r="B269" s="17"/>
      <c r="C269" s="18"/>
      <c r="D269" s="18"/>
      <c r="E269" s="18"/>
      <c r="F269" s="15" t="str">
        <f aca="false">IF(A269="","",A269+7)</f>
        <v/>
      </c>
      <c r="G269" s="17"/>
      <c r="H269" s="16" t="str">
        <f aca="true">IF(A269="","",IF(G269="✓","🟢 Revisado",IF(TODAY()&gt;=F269,"🟡 Revisar","Aguardando")))</f>
        <v/>
      </c>
    </row>
    <row r="270" customFormat="false" ht="15" hidden="false" customHeight="false" outlineLevel="0" collapsed="false">
      <c r="A270" s="30"/>
      <c r="B270" s="17"/>
      <c r="C270" s="18"/>
      <c r="D270" s="18"/>
      <c r="E270" s="18"/>
      <c r="F270" s="15" t="str">
        <f aca="false">IF(A270="","",A270+7)</f>
        <v/>
      </c>
      <c r="G270" s="17"/>
      <c r="H270" s="16" t="str">
        <f aca="true">IF(A270="","",IF(G270="✓","🟢 Revisado",IF(TODAY()&gt;=F270,"🟡 Revisar","Aguardando")))</f>
        <v/>
      </c>
    </row>
    <row r="271" customFormat="false" ht="15" hidden="false" customHeight="false" outlineLevel="0" collapsed="false">
      <c r="A271" s="30"/>
      <c r="B271" s="17"/>
      <c r="C271" s="18"/>
      <c r="D271" s="18"/>
      <c r="E271" s="18"/>
      <c r="F271" s="15" t="str">
        <f aca="false">IF(A271="","",A271+7)</f>
        <v/>
      </c>
      <c r="G271" s="17"/>
      <c r="H271" s="16" t="str">
        <f aca="true">IF(A271="","",IF(G271="✓","🟢 Revisado",IF(TODAY()&gt;=F271,"🟡 Revisar","Aguardando")))</f>
        <v/>
      </c>
    </row>
    <row r="272" customFormat="false" ht="15" hidden="false" customHeight="false" outlineLevel="0" collapsed="false">
      <c r="A272" s="30"/>
      <c r="B272" s="17"/>
      <c r="C272" s="18"/>
      <c r="D272" s="18"/>
      <c r="E272" s="18"/>
      <c r="F272" s="15" t="str">
        <f aca="false">IF(A272="","",A272+7)</f>
        <v/>
      </c>
      <c r="G272" s="17"/>
      <c r="H272" s="16" t="str">
        <f aca="true">IF(A272="","",IF(G272="✓","🟢 Revisado",IF(TODAY()&gt;=F272,"🟡 Revisar","Aguardando")))</f>
        <v/>
      </c>
    </row>
    <row r="273" customFormat="false" ht="15" hidden="false" customHeight="false" outlineLevel="0" collapsed="false">
      <c r="A273" s="30"/>
      <c r="B273" s="17"/>
      <c r="C273" s="18"/>
      <c r="D273" s="18"/>
      <c r="E273" s="18"/>
      <c r="F273" s="15" t="str">
        <f aca="false">IF(A273="","",A273+7)</f>
        <v/>
      </c>
      <c r="G273" s="17"/>
      <c r="H273" s="16" t="str">
        <f aca="true">IF(A273="","",IF(G273="✓","🟢 Revisado",IF(TODAY()&gt;=F273,"🟡 Revisar","Aguardando")))</f>
        <v/>
      </c>
    </row>
    <row r="274" customFormat="false" ht="15" hidden="false" customHeight="false" outlineLevel="0" collapsed="false">
      <c r="A274" s="30"/>
      <c r="B274" s="17"/>
      <c r="C274" s="18"/>
      <c r="D274" s="18"/>
      <c r="E274" s="18"/>
      <c r="F274" s="15" t="str">
        <f aca="false">IF(A274="","",A274+7)</f>
        <v/>
      </c>
      <c r="G274" s="17"/>
      <c r="H274" s="16" t="str">
        <f aca="true">IF(A274="","",IF(G274="✓","🟢 Revisado",IF(TODAY()&gt;=F274,"🟡 Revisar","Aguardando")))</f>
        <v/>
      </c>
    </row>
    <row r="275" customFormat="false" ht="15" hidden="false" customHeight="false" outlineLevel="0" collapsed="false">
      <c r="A275" s="30"/>
      <c r="B275" s="17"/>
      <c r="C275" s="18"/>
      <c r="D275" s="18"/>
      <c r="E275" s="18"/>
      <c r="F275" s="15" t="str">
        <f aca="false">IF(A275="","",A275+7)</f>
        <v/>
      </c>
      <c r="G275" s="17"/>
      <c r="H275" s="16" t="str">
        <f aca="true">IF(A275="","",IF(G275="✓","🟢 Revisado",IF(TODAY()&gt;=F275,"🟡 Revisar","Aguardando")))</f>
        <v/>
      </c>
    </row>
    <row r="276" customFormat="false" ht="15" hidden="false" customHeight="false" outlineLevel="0" collapsed="false">
      <c r="A276" s="30"/>
      <c r="B276" s="17"/>
      <c r="C276" s="18"/>
      <c r="D276" s="18"/>
      <c r="E276" s="18"/>
      <c r="F276" s="15" t="str">
        <f aca="false">IF(A276="","",A276+7)</f>
        <v/>
      </c>
      <c r="G276" s="17"/>
      <c r="H276" s="16" t="str">
        <f aca="true">IF(A276="","",IF(G276="✓","🟢 Revisado",IF(TODAY()&gt;=F276,"🟡 Revisar","Aguardando")))</f>
        <v/>
      </c>
    </row>
    <row r="277" customFormat="false" ht="15" hidden="false" customHeight="false" outlineLevel="0" collapsed="false">
      <c r="A277" s="30"/>
      <c r="B277" s="17"/>
      <c r="C277" s="18"/>
      <c r="D277" s="18"/>
      <c r="E277" s="18"/>
      <c r="F277" s="15" t="str">
        <f aca="false">IF(A277="","",A277+7)</f>
        <v/>
      </c>
      <c r="G277" s="17"/>
      <c r="H277" s="16" t="str">
        <f aca="true">IF(A277="","",IF(G277="✓","🟢 Revisado",IF(TODAY()&gt;=F277,"🟡 Revisar","Aguardando")))</f>
        <v/>
      </c>
    </row>
    <row r="278" customFormat="false" ht="15" hidden="false" customHeight="false" outlineLevel="0" collapsed="false">
      <c r="A278" s="30"/>
      <c r="B278" s="17"/>
      <c r="C278" s="18"/>
      <c r="D278" s="18"/>
      <c r="E278" s="18"/>
      <c r="F278" s="15" t="str">
        <f aca="false">IF(A278="","",A278+7)</f>
        <v/>
      </c>
      <c r="G278" s="17"/>
      <c r="H278" s="16" t="str">
        <f aca="true">IF(A278="","",IF(G278="✓","🟢 Revisado",IF(TODAY()&gt;=F278,"🟡 Revisar","Aguardando")))</f>
        <v/>
      </c>
    </row>
    <row r="279" customFormat="false" ht="15" hidden="false" customHeight="false" outlineLevel="0" collapsed="false">
      <c r="A279" s="30"/>
      <c r="B279" s="17"/>
      <c r="C279" s="18"/>
      <c r="D279" s="18"/>
      <c r="E279" s="18"/>
      <c r="F279" s="15" t="str">
        <f aca="false">IF(A279="","",A279+7)</f>
        <v/>
      </c>
      <c r="G279" s="17"/>
      <c r="H279" s="16" t="str">
        <f aca="true">IF(A279="","",IF(G279="✓","🟢 Revisado",IF(TODAY()&gt;=F279,"🟡 Revisar","Aguardando")))</f>
        <v/>
      </c>
    </row>
    <row r="280" customFormat="false" ht="15" hidden="false" customHeight="false" outlineLevel="0" collapsed="false">
      <c r="A280" s="30"/>
      <c r="B280" s="17"/>
      <c r="C280" s="18"/>
      <c r="D280" s="18"/>
      <c r="E280" s="18"/>
      <c r="F280" s="15" t="str">
        <f aca="false">IF(A280="","",A280+7)</f>
        <v/>
      </c>
      <c r="G280" s="17"/>
      <c r="H280" s="16" t="str">
        <f aca="true">IF(A280="","",IF(G280="✓","🟢 Revisado",IF(TODAY()&gt;=F280,"🟡 Revisar","Aguardando")))</f>
        <v/>
      </c>
    </row>
    <row r="281" customFormat="false" ht="15" hidden="false" customHeight="false" outlineLevel="0" collapsed="false">
      <c r="A281" s="30"/>
      <c r="B281" s="17"/>
      <c r="C281" s="18"/>
      <c r="D281" s="18"/>
      <c r="E281" s="18"/>
      <c r="F281" s="15" t="str">
        <f aca="false">IF(A281="","",A281+7)</f>
        <v/>
      </c>
      <c r="G281" s="17"/>
      <c r="H281" s="16" t="str">
        <f aca="true">IF(A281="","",IF(G281="✓","🟢 Revisado",IF(TODAY()&gt;=F281,"🟡 Revisar","Aguardando")))</f>
        <v/>
      </c>
    </row>
    <row r="282" customFormat="false" ht="15" hidden="false" customHeight="false" outlineLevel="0" collapsed="false">
      <c r="A282" s="30"/>
      <c r="B282" s="17"/>
      <c r="C282" s="18"/>
      <c r="D282" s="18"/>
      <c r="E282" s="18"/>
      <c r="F282" s="15" t="str">
        <f aca="false">IF(A282="","",A282+7)</f>
        <v/>
      </c>
      <c r="G282" s="17"/>
      <c r="H282" s="16" t="str">
        <f aca="true">IF(A282="","",IF(G282="✓","🟢 Revisado",IF(TODAY()&gt;=F282,"🟡 Revisar","Aguardando")))</f>
        <v/>
      </c>
    </row>
    <row r="283" customFormat="false" ht="15" hidden="false" customHeight="false" outlineLevel="0" collapsed="false">
      <c r="A283" s="30"/>
      <c r="B283" s="17"/>
      <c r="C283" s="18"/>
      <c r="D283" s="18"/>
      <c r="E283" s="18"/>
      <c r="F283" s="15" t="str">
        <f aca="false">IF(A283="","",A283+7)</f>
        <v/>
      </c>
      <c r="G283" s="17"/>
      <c r="H283" s="16" t="str">
        <f aca="true">IF(A283="","",IF(G283="✓","🟢 Revisado",IF(TODAY()&gt;=F283,"🟡 Revisar","Aguardando")))</f>
        <v/>
      </c>
    </row>
    <row r="284" customFormat="false" ht="15" hidden="false" customHeight="false" outlineLevel="0" collapsed="false">
      <c r="A284" s="30"/>
      <c r="B284" s="17"/>
      <c r="C284" s="18"/>
      <c r="D284" s="18"/>
      <c r="E284" s="18"/>
      <c r="F284" s="15" t="str">
        <f aca="false">IF(A284="","",A284+7)</f>
        <v/>
      </c>
      <c r="G284" s="17"/>
      <c r="H284" s="16" t="str">
        <f aca="true">IF(A284="","",IF(G284="✓","🟢 Revisado",IF(TODAY()&gt;=F284,"🟡 Revisar","Aguardando")))</f>
        <v/>
      </c>
    </row>
    <row r="285" customFormat="false" ht="15" hidden="false" customHeight="false" outlineLevel="0" collapsed="false">
      <c r="A285" s="30"/>
      <c r="B285" s="17"/>
      <c r="C285" s="18"/>
      <c r="D285" s="18"/>
      <c r="E285" s="18"/>
      <c r="F285" s="15" t="str">
        <f aca="false">IF(A285="","",A285+7)</f>
        <v/>
      </c>
      <c r="G285" s="17"/>
      <c r="H285" s="16" t="str">
        <f aca="true">IF(A285="","",IF(G285="✓","🟢 Revisado",IF(TODAY()&gt;=F285,"🟡 Revisar","Aguardando")))</f>
        <v/>
      </c>
    </row>
    <row r="286" customFormat="false" ht="15" hidden="false" customHeight="false" outlineLevel="0" collapsed="false">
      <c r="A286" s="30"/>
      <c r="B286" s="17"/>
      <c r="C286" s="18"/>
      <c r="D286" s="18"/>
      <c r="E286" s="18"/>
      <c r="F286" s="15" t="str">
        <f aca="false">IF(A286="","",A286+7)</f>
        <v/>
      </c>
      <c r="G286" s="17"/>
      <c r="H286" s="16" t="str">
        <f aca="true">IF(A286="","",IF(G286="✓","🟢 Revisado",IF(TODAY()&gt;=F286,"🟡 Revisar","Aguardando")))</f>
        <v/>
      </c>
    </row>
    <row r="287" customFormat="false" ht="15" hidden="false" customHeight="false" outlineLevel="0" collapsed="false">
      <c r="A287" s="30"/>
      <c r="B287" s="17"/>
      <c r="C287" s="18"/>
      <c r="D287" s="18"/>
      <c r="E287" s="18"/>
      <c r="F287" s="15" t="str">
        <f aca="false">IF(A287="","",A287+7)</f>
        <v/>
      </c>
      <c r="G287" s="17"/>
      <c r="H287" s="16" t="str">
        <f aca="true">IF(A287="","",IF(G287="✓","🟢 Revisado",IF(TODAY()&gt;=F287,"🟡 Revisar","Aguardando")))</f>
        <v/>
      </c>
    </row>
    <row r="288" customFormat="false" ht="15" hidden="false" customHeight="false" outlineLevel="0" collapsed="false">
      <c r="A288" s="30"/>
      <c r="B288" s="17"/>
      <c r="C288" s="18"/>
      <c r="D288" s="18"/>
      <c r="E288" s="18"/>
      <c r="F288" s="15" t="str">
        <f aca="false">IF(A288="","",A288+7)</f>
        <v/>
      </c>
      <c r="G288" s="17"/>
      <c r="H288" s="16" t="str">
        <f aca="true">IF(A288="","",IF(G288="✓","🟢 Revisado",IF(TODAY()&gt;=F288,"🟡 Revisar","Aguardando")))</f>
        <v/>
      </c>
    </row>
    <row r="289" customFormat="false" ht="15" hidden="false" customHeight="false" outlineLevel="0" collapsed="false">
      <c r="A289" s="30"/>
      <c r="B289" s="17"/>
      <c r="C289" s="18"/>
      <c r="D289" s="18"/>
      <c r="E289" s="18"/>
      <c r="F289" s="15" t="str">
        <f aca="false">IF(A289="","",A289+7)</f>
        <v/>
      </c>
      <c r="G289" s="17"/>
      <c r="H289" s="16" t="str">
        <f aca="true">IF(A289="","",IF(G289="✓","🟢 Revisado",IF(TODAY()&gt;=F289,"🟡 Revisar","Aguardando")))</f>
        <v/>
      </c>
    </row>
    <row r="290" customFormat="false" ht="15" hidden="false" customHeight="false" outlineLevel="0" collapsed="false">
      <c r="A290" s="30"/>
      <c r="B290" s="17"/>
      <c r="C290" s="18"/>
      <c r="D290" s="18"/>
      <c r="E290" s="18"/>
      <c r="F290" s="15" t="str">
        <f aca="false">IF(A290="","",A290+7)</f>
        <v/>
      </c>
      <c r="G290" s="17"/>
      <c r="H290" s="16" t="str">
        <f aca="true">IF(A290="","",IF(G290="✓","🟢 Revisado",IF(TODAY()&gt;=F290,"🟡 Revisar","Aguardando")))</f>
        <v/>
      </c>
    </row>
    <row r="291" customFormat="false" ht="15" hidden="false" customHeight="false" outlineLevel="0" collapsed="false">
      <c r="A291" s="30"/>
      <c r="B291" s="17"/>
      <c r="C291" s="18"/>
      <c r="D291" s="18"/>
      <c r="E291" s="18"/>
      <c r="F291" s="15" t="str">
        <f aca="false">IF(A291="","",A291+7)</f>
        <v/>
      </c>
      <c r="G291" s="17"/>
      <c r="H291" s="16" t="str">
        <f aca="true">IF(A291="","",IF(G291="✓","🟢 Revisado",IF(TODAY()&gt;=F291,"🟡 Revisar","Aguardando")))</f>
        <v/>
      </c>
    </row>
    <row r="292" customFormat="false" ht="15" hidden="false" customHeight="false" outlineLevel="0" collapsed="false">
      <c r="A292" s="30"/>
      <c r="B292" s="17"/>
      <c r="C292" s="18"/>
      <c r="D292" s="18"/>
      <c r="E292" s="18"/>
      <c r="F292" s="15" t="str">
        <f aca="false">IF(A292="","",A292+7)</f>
        <v/>
      </c>
      <c r="G292" s="17"/>
      <c r="H292" s="16" t="str">
        <f aca="true">IF(A292="","",IF(G292="✓","🟢 Revisado",IF(TODAY()&gt;=F292,"🟡 Revisar","Aguardando")))</f>
        <v/>
      </c>
    </row>
    <row r="293" customFormat="false" ht="15" hidden="false" customHeight="false" outlineLevel="0" collapsed="false">
      <c r="A293" s="30"/>
      <c r="B293" s="17"/>
      <c r="C293" s="18"/>
      <c r="D293" s="18"/>
      <c r="E293" s="18"/>
      <c r="F293" s="15" t="str">
        <f aca="false">IF(A293="","",A293+7)</f>
        <v/>
      </c>
      <c r="G293" s="17"/>
      <c r="H293" s="16" t="str">
        <f aca="true">IF(A293="","",IF(G293="✓","🟢 Revisado",IF(TODAY()&gt;=F293,"🟡 Revisar","Aguardando")))</f>
        <v/>
      </c>
    </row>
    <row r="294" customFormat="false" ht="15" hidden="false" customHeight="false" outlineLevel="0" collapsed="false">
      <c r="A294" s="30"/>
      <c r="B294" s="17"/>
      <c r="C294" s="18"/>
      <c r="D294" s="18"/>
      <c r="E294" s="18"/>
      <c r="F294" s="15" t="str">
        <f aca="false">IF(A294="","",A294+7)</f>
        <v/>
      </c>
      <c r="G294" s="17"/>
      <c r="H294" s="16" t="str">
        <f aca="true">IF(A294="","",IF(G294="✓","🟢 Revisado",IF(TODAY()&gt;=F294,"🟡 Revisar","Aguardando")))</f>
        <v/>
      </c>
    </row>
    <row r="295" customFormat="false" ht="15" hidden="false" customHeight="false" outlineLevel="0" collapsed="false">
      <c r="A295" s="30"/>
      <c r="B295" s="17"/>
      <c r="C295" s="18"/>
      <c r="D295" s="18"/>
      <c r="E295" s="18"/>
      <c r="F295" s="15" t="str">
        <f aca="false">IF(A295="","",A295+7)</f>
        <v/>
      </c>
      <c r="G295" s="17"/>
      <c r="H295" s="16" t="str">
        <f aca="true">IF(A295="","",IF(G295="✓","🟢 Revisado",IF(TODAY()&gt;=F295,"🟡 Revisar","Aguardando")))</f>
        <v/>
      </c>
    </row>
    <row r="296" customFormat="false" ht="15" hidden="false" customHeight="false" outlineLevel="0" collapsed="false">
      <c r="A296" s="30"/>
      <c r="B296" s="17"/>
      <c r="C296" s="18"/>
      <c r="D296" s="18"/>
      <c r="E296" s="18"/>
      <c r="F296" s="15" t="str">
        <f aca="false">IF(A296="","",A296+7)</f>
        <v/>
      </c>
      <c r="G296" s="17"/>
      <c r="H296" s="16" t="str">
        <f aca="true">IF(A296="","",IF(G296="✓","🟢 Revisado",IF(TODAY()&gt;=F296,"🟡 Revisar","Aguardando")))</f>
        <v/>
      </c>
    </row>
    <row r="297" customFormat="false" ht="15" hidden="false" customHeight="false" outlineLevel="0" collapsed="false">
      <c r="A297" s="30"/>
      <c r="B297" s="17"/>
      <c r="C297" s="18"/>
      <c r="D297" s="18"/>
      <c r="E297" s="18"/>
      <c r="F297" s="15" t="str">
        <f aca="false">IF(A297="","",A297+7)</f>
        <v/>
      </c>
      <c r="G297" s="17"/>
      <c r="H297" s="16" t="str">
        <f aca="true">IF(A297="","",IF(G297="✓","🟢 Revisado",IF(TODAY()&gt;=F297,"🟡 Revisar","Aguardando")))</f>
        <v/>
      </c>
    </row>
    <row r="298" customFormat="false" ht="15" hidden="false" customHeight="false" outlineLevel="0" collapsed="false">
      <c r="A298" s="30"/>
      <c r="B298" s="17"/>
      <c r="C298" s="18"/>
      <c r="D298" s="18"/>
      <c r="E298" s="18"/>
      <c r="F298" s="15" t="str">
        <f aca="false">IF(A298="","",A298+7)</f>
        <v/>
      </c>
      <c r="G298" s="17"/>
      <c r="H298" s="16" t="str">
        <f aca="true">IF(A298="","",IF(G298="✓","🟢 Revisado",IF(TODAY()&gt;=F298,"🟡 Revisar","Aguardando")))</f>
        <v/>
      </c>
    </row>
    <row r="299" customFormat="false" ht="15" hidden="false" customHeight="false" outlineLevel="0" collapsed="false">
      <c r="A299" s="30"/>
      <c r="B299" s="17"/>
      <c r="C299" s="18"/>
      <c r="D299" s="18"/>
      <c r="E299" s="18"/>
      <c r="F299" s="15" t="str">
        <f aca="false">IF(A299="","",A299+7)</f>
        <v/>
      </c>
      <c r="G299" s="17"/>
      <c r="H299" s="16" t="str">
        <f aca="true">IF(A299="","",IF(G299="✓","🟢 Revisado",IF(TODAY()&gt;=F299,"🟡 Revisar","Aguardando")))</f>
        <v/>
      </c>
    </row>
    <row r="300" customFormat="false" ht="15" hidden="false" customHeight="false" outlineLevel="0" collapsed="false">
      <c r="A300" s="30"/>
      <c r="B300" s="17"/>
      <c r="C300" s="18"/>
      <c r="D300" s="18"/>
      <c r="E300" s="18"/>
      <c r="F300" s="15" t="str">
        <f aca="false">IF(A300="","",A300+7)</f>
        <v/>
      </c>
      <c r="G300" s="17"/>
      <c r="H300" s="16" t="str">
        <f aca="true">IF(A300="","",IF(G300="✓","🟢 Revisado",IF(TODAY()&gt;=F300,"🟡 Revisar","Aguardando")))</f>
        <v/>
      </c>
    </row>
    <row r="301" customFormat="false" ht="15" hidden="false" customHeight="false" outlineLevel="0" collapsed="false">
      <c r="A301" s="30"/>
      <c r="B301" s="17"/>
      <c r="C301" s="18"/>
      <c r="D301" s="18"/>
      <c r="E301" s="18"/>
      <c r="F301" s="15" t="str">
        <f aca="false">IF(A301="","",A301+7)</f>
        <v/>
      </c>
      <c r="G301" s="17"/>
      <c r="H301" s="16" t="str">
        <f aca="true">IF(A301="","",IF(G301="✓","🟢 Revisado",IF(TODAY()&gt;=F301,"🟡 Revisar","Aguardando")))</f>
        <v/>
      </c>
    </row>
    <row r="302" customFormat="false" ht="15" hidden="false" customHeight="false" outlineLevel="0" collapsed="false">
      <c r="A302" s="30"/>
      <c r="B302" s="17"/>
      <c r="C302" s="18"/>
      <c r="D302" s="18"/>
      <c r="E302" s="18"/>
      <c r="F302" s="15" t="str">
        <f aca="false">IF(A302="","",A302+7)</f>
        <v/>
      </c>
      <c r="G302" s="17"/>
      <c r="H302" s="16" t="str">
        <f aca="true">IF(A302="","",IF(G302="✓","🟢 Revisado",IF(TODAY()&gt;=F302,"🟡 Revisar","Aguardando")))</f>
        <v/>
      </c>
    </row>
    <row r="303" customFormat="false" ht="15" hidden="false" customHeight="false" outlineLevel="0" collapsed="false">
      <c r="A303" s="30"/>
      <c r="B303" s="17"/>
      <c r="C303" s="18"/>
      <c r="D303" s="18"/>
      <c r="E303" s="18"/>
      <c r="F303" s="15" t="str">
        <f aca="false">IF(A303="","",A303+7)</f>
        <v/>
      </c>
      <c r="G303" s="17"/>
      <c r="H303" s="16" t="str">
        <f aca="true">IF(A303="","",IF(G303="✓","🟢 Revisado",IF(TODAY()&gt;=F303,"🟡 Revisar","Aguardando")))</f>
        <v/>
      </c>
    </row>
    <row r="304" customFormat="false" ht="15" hidden="false" customHeight="false" outlineLevel="0" collapsed="false">
      <c r="A304" s="30"/>
      <c r="B304" s="17"/>
      <c r="C304" s="18"/>
      <c r="D304" s="18"/>
      <c r="E304" s="18"/>
      <c r="F304" s="15" t="str">
        <f aca="false">IF(A304="","",A304+7)</f>
        <v/>
      </c>
      <c r="G304" s="17"/>
      <c r="H304" s="16" t="str">
        <f aca="true">IF(A304="","",IF(G304="✓","🟢 Revisado",IF(TODAY()&gt;=F304,"🟡 Revisar","Aguardando")))</f>
        <v/>
      </c>
    </row>
    <row r="305" customFormat="false" ht="15" hidden="false" customHeight="false" outlineLevel="0" collapsed="false">
      <c r="A305" s="30"/>
      <c r="B305" s="17"/>
      <c r="C305" s="18"/>
      <c r="D305" s="18"/>
      <c r="E305" s="18"/>
      <c r="F305" s="15" t="str">
        <f aca="false">IF(A305="","",A305+7)</f>
        <v/>
      </c>
      <c r="G305" s="17"/>
      <c r="H305" s="16" t="str">
        <f aca="true">IF(A305="","",IF(G305="✓","🟢 Revisado",IF(TODAY()&gt;=F305,"🟡 Revisar","Aguardando")))</f>
        <v/>
      </c>
    </row>
    <row r="306" customFormat="false" ht="15" hidden="false" customHeight="false" outlineLevel="0" collapsed="false">
      <c r="A306" s="30"/>
      <c r="B306" s="17"/>
      <c r="C306" s="18"/>
      <c r="D306" s="18"/>
      <c r="E306" s="18"/>
      <c r="F306" s="15" t="str">
        <f aca="false">IF(A306="","",A306+7)</f>
        <v/>
      </c>
      <c r="G306" s="17"/>
      <c r="H306" s="16" t="str">
        <f aca="true">IF(A306="","",IF(G306="✓","🟢 Revisado",IF(TODAY()&gt;=F306,"🟡 Revisar","Aguardando")))</f>
        <v/>
      </c>
    </row>
    <row r="307" customFormat="false" ht="15" hidden="false" customHeight="false" outlineLevel="0" collapsed="false">
      <c r="A307" s="30"/>
      <c r="B307" s="17"/>
      <c r="C307" s="18"/>
      <c r="D307" s="18"/>
      <c r="E307" s="18"/>
      <c r="F307" s="15" t="str">
        <f aca="false">IF(A307="","",A307+7)</f>
        <v/>
      </c>
      <c r="G307" s="17"/>
      <c r="H307" s="16" t="str">
        <f aca="true">IF(A307="","",IF(G307="✓","🟢 Revisado",IF(TODAY()&gt;=F307,"🟡 Revisar","Aguardando")))</f>
        <v/>
      </c>
    </row>
    <row r="308" customFormat="false" ht="15" hidden="false" customHeight="false" outlineLevel="0" collapsed="false">
      <c r="A308" s="30"/>
      <c r="B308" s="17"/>
      <c r="C308" s="18"/>
      <c r="D308" s="18"/>
      <c r="E308" s="18"/>
      <c r="F308" s="15" t="str">
        <f aca="false">IF(A308="","",A308+7)</f>
        <v/>
      </c>
      <c r="G308" s="17"/>
      <c r="H308" s="16" t="str">
        <f aca="true">IF(A308="","",IF(G308="✓","🟢 Revisado",IF(TODAY()&gt;=F308,"🟡 Revisar","Aguardando")))</f>
        <v/>
      </c>
    </row>
    <row r="309" customFormat="false" ht="15" hidden="false" customHeight="false" outlineLevel="0" collapsed="false">
      <c r="A309" s="30"/>
      <c r="B309" s="17"/>
      <c r="C309" s="18"/>
      <c r="D309" s="18"/>
      <c r="E309" s="18"/>
      <c r="F309" s="15" t="str">
        <f aca="false">IF(A309="","",A309+7)</f>
        <v/>
      </c>
      <c r="G309" s="17"/>
      <c r="H309" s="16" t="str">
        <f aca="true">IF(A309="","",IF(G309="✓","🟢 Revisado",IF(TODAY()&gt;=F309,"🟡 Revisar","Aguardando")))</f>
        <v/>
      </c>
    </row>
    <row r="310" customFormat="false" ht="15" hidden="false" customHeight="false" outlineLevel="0" collapsed="false">
      <c r="A310" s="30"/>
      <c r="B310" s="17"/>
      <c r="C310" s="18"/>
      <c r="D310" s="18"/>
      <c r="E310" s="18"/>
      <c r="F310" s="15" t="str">
        <f aca="false">IF(A310="","",A310+7)</f>
        <v/>
      </c>
      <c r="G310" s="17"/>
      <c r="H310" s="16" t="str">
        <f aca="true">IF(A310="","",IF(G310="✓","🟢 Revisado",IF(TODAY()&gt;=F310,"🟡 Revisar","Aguardando")))</f>
        <v/>
      </c>
    </row>
    <row r="311" customFormat="false" ht="15" hidden="false" customHeight="false" outlineLevel="0" collapsed="false">
      <c r="A311" s="30"/>
      <c r="B311" s="17"/>
      <c r="C311" s="18"/>
      <c r="D311" s="18"/>
      <c r="E311" s="18"/>
      <c r="F311" s="15" t="str">
        <f aca="false">IF(A311="","",A311+7)</f>
        <v/>
      </c>
      <c r="G311" s="17"/>
      <c r="H311" s="16" t="str">
        <f aca="true">IF(A311="","",IF(G311="✓","🟢 Revisado",IF(TODAY()&gt;=F311,"🟡 Revisar","Aguardando")))</f>
        <v/>
      </c>
    </row>
    <row r="312" customFormat="false" ht="15" hidden="false" customHeight="false" outlineLevel="0" collapsed="false">
      <c r="A312" s="30"/>
      <c r="B312" s="17"/>
      <c r="C312" s="18"/>
      <c r="D312" s="18"/>
      <c r="E312" s="18"/>
      <c r="F312" s="15" t="str">
        <f aca="false">IF(A312="","",A312+7)</f>
        <v/>
      </c>
      <c r="G312" s="17"/>
      <c r="H312" s="16" t="str">
        <f aca="true">IF(A312="","",IF(G312="✓","🟢 Revisado",IF(TODAY()&gt;=F312,"🟡 Revisar","Aguardando")))</f>
        <v/>
      </c>
    </row>
    <row r="313" customFormat="false" ht="15" hidden="false" customHeight="false" outlineLevel="0" collapsed="false">
      <c r="A313" s="30"/>
      <c r="B313" s="17"/>
      <c r="C313" s="18"/>
      <c r="D313" s="18"/>
      <c r="E313" s="18"/>
      <c r="F313" s="15" t="str">
        <f aca="false">IF(A313="","",A313+7)</f>
        <v/>
      </c>
      <c r="G313" s="17"/>
      <c r="H313" s="16" t="str">
        <f aca="true">IF(A313="","",IF(G313="✓","🟢 Revisado",IF(TODAY()&gt;=F313,"🟡 Revisar","Aguardando")))</f>
        <v/>
      </c>
    </row>
    <row r="314" customFormat="false" ht="15" hidden="false" customHeight="false" outlineLevel="0" collapsed="false">
      <c r="A314" s="30"/>
      <c r="B314" s="17"/>
      <c r="C314" s="18"/>
      <c r="D314" s="18"/>
      <c r="E314" s="18"/>
      <c r="F314" s="15" t="str">
        <f aca="false">IF(A314="","",A314+7)</f>
        <v/>
      </c>
      <c r="G314" s="17"/>
      <c r="H314" s="16" t="str">
        <f aca="true">IF(A314="","",IF(G314="✓","🟢 Revisado",IF(TODAY()&gt;=F314,"🟡 Revisar","Aguardando")))</f>
        <v/>
      </c>
    </row>
    <row r="315" customFormat="false" ht="15" hidden="false" customHeight="false" outlineLevel="0" collapsed="false">
      <c r="A315" s="30"/>
      <c r="B315" s="17"/>
      <c r="C315" s="18"/>
      <c r="D315" s="18"/>
      <c r="E315" s="18"/>
      <c r="F315" s="15" t="str">
        <f aca="false">IF(A315="","",A315+7)</f>
        <v/>
      </c>
      <c r="G315" s="17"/>
      <c r="H315" s="16" t="str">
        <f aca="true">IF(A315="","",IF(G315="✓","🟢 Revisado",IF(TODAY()&gt;=F315,"🟡 Revisar","Aguardando")))</f>
        <v/>
      </c>
    </row>
    <row r="316" customFormat="false" ht="15" hidden="false" customHeight="false" outlineLevel="0" collapsed="false">
      <c r="A316" s="30"/>
      <c r="B316" s="17"/>
      <c r="C316" s="18"/>
      <c r="D316" s="18"/>
      <c r="E316" s="18"/>
      <c r="F316" s="15" t="str">
        <f aca="false">IF(A316="","",A316+7)</f>
        <v/>
      </c>
      <c r="G316" s="17"/>
      <c r="H316" s="16" t="str">
        <f aca="true">IF(A316="","",IF(G316="✓","🟢 Revisado",IF(TODAY()&gt;=F316,"🟡 Revisar","Aguardando")))</f>
        <v/>
      </c>
    </row>
    <row r="317" customFormat="false" ht="15" hidden="false" customHeight="false" outlineLevel="0" collapsed="false">
      <c r="A317" s="30"/>
      <c r="B317" s="17"/>
      <c r="C317" s="18"/>
      <c r="D317" s="18"/>
      <c r="E317" s="18"/>
      <c r="F317" s="15" t="str">
        <f aca="false">IF(A317="","",A317+7)</f>
        <v/>
      </c>
      <c r="G317" s="17"/>
      <c r="H317" s="16" t="str">
        <f aca="true">IF(A317="","",IF(G317="✓","🟢 Revisado",IF(TODAY()&gt;=F317,"🟡 Revisar","Aguardando")))</f>
        <v/>
      </c>
    </row>
    <row r="318" customFormat="false" ht="15" hidden="false" customHeight="false" outlineLevel="0" collapsed="false">
      <c r="A318" s="30"/>
      <c r="B318" s="17"/>
      <c r="C318" s="18"/>
      <c r="D318" s="18"/>
      <c r="E318" s="18"/>
      <c r="F318" s="15" t="str">
        <f aca="false">IF(A318="","",A318+7)</f>
        <v/>
      </c>
      <c r="G318" s="17"/>
      <c r="H318" s="16" t="str">
        <f aca="true">IF(A318="","",IF(G318="✓","🟢 Revisado",IF(TODAY()&gt;=F318,"🟡 Revisar","Aguardando")))</f>
        <v/>
      </c>
    </row>
    <row r="319" customFormat="false" ht="15" hidden="false" customHeight="false" outlineLevel="0" collapsed="false">
      <c r="A319" s="30"/>
      <c r="B319" s="17"/>
      <c r="C319" s="18"/>
      <c r="D319" s="18"/>
      <c r="E319" s="18"/>
      <c r="F319" s="15" t="str">
        <f aca="false">IF(A319="","",A319+7)</f>
        <v/>
      </c>
      <c r="G319" s="17"/>
      <c r="H319" s="16" t="str">
        <f aca="true">IF(A319="","",IF(G319="✓","🟢 Revisado",IF(TODAY()&gt;=F319,"🟡 Revisar","Aguardando")))</f>
        <v/>
      </c>
    </row>
    <row r="320" customFormat="false" ht="15" hidden="false" customHeight="false" outlineLevel="0" collapsed="false">
      <c r="A320" s="30"/>
      <c r="B320" s="17"/>
      <c r="C320" s="18"/>
      <c r="D320" s="18"/>
      <c r="E320" s="18"/>
      <c r="F320" s="15" t="str">
        <f aca="false">IF(A320="","",A320+7)</f>
        <v/>
      </c>
      <c r="G320" s="17"/>
      <c r="H320" s="16" t="str">
        <f aca="true">IF(A320="","",IF(G320="✓","🟢 Revisado",IF(TODAY()&gt;=F320,"🟡 Revisar","Aguardando")))</f>
        <v/>
      </c>
    </row>
    <row r="321" customFormat="false" ht="15" hidden="false" customHeight="false" outlineLevel="0" collapsed="false">
      <c r="A321" s="30"/>
      <c r="B321" s="17"/>
      <c r="C321" s="18"/>
      <c r="D321" s="18"/>
      <c r="E321" s="18"/>
      <c r="F321" s="15" t="str">
        <f aca="false">IF(A321="","",A321+7)</f>
        <v/>
      </c>
      <c r="G321" s="17"/>
      <c r="H321" s="16" t="str">
        <f aca="true">IF(A321="","",IF(G321="✓","🟢 Revisado",IF(TODAY()&gt;=F321,"🟡 Revisar","Aguardando")))</f>
        <v/>
      </c>
    </row>
    <row r="322" customFormat="false" ht="15" hidden="false" customHeight="false" outlineLevel="0" collapsed="false">
      <c r="A322" s="30"/>
      <c r="B322" s="17"/>
      <c r="C322" s="18"/>
      <c r="D322" s="18"/>
      <c r="E322" s="18"/>
      <c r="F322" s="15" t="str">
        <f aca="false">IF(A322="","",A322+7)</f>
        <v/>
      </c>
      <c r="G322" s="17"/>
      <c r="H322" s="16" t="str">
        <f aca="true">IF(A322="","",IF(G322="✓","🟢 Revisado",IF(TODAY()&gt;=F322,"🟡 Revisar","Aguardando")))</f>
        <v/>
      </c>
    </row>
    <row r="323" customFormat="false" ht="15" hidden="false" customHeight="false" outlineLevel="0" collapsed="false">
      <c r="A323" s="30"/>
      <c r="B323" s="17"/>
      <c r="C323" s="18"/>
      <c r="D323" s="18"/>
      <c r="E323" s="18"/>
      <c r="F323" s="15" t="str">
        <f aca="false">IF(A323="","",A323+7)</f>
        <v/>
      </c>
      <c r="G323" s="17"/>
      <c r="H323" s="16" t="str">
        <f aca="true">IF(A323="","",IF(G323="✓","🟢 Revisado",IF(TODAY()&gt;=F323,"🟡 Revisar","Aguardando")))</f>
        <v/>
      </c>
    </row>
    <row r="324" customFormat="false" ht="15" hidden="false" customHeight="false" outlineLevel="0" collapsed="false">
      <c r="A324" s="30"/>
      <c r="B324" s="17"/>
      <c r="C324" s="18"/>
      <c r="D324" s="18"/>
      <c r="E324" s="18"/>
      <c r="F324" s="15" t="str">
        <f aca="false">IF(A324="","",A324+7)</f>
        <v/>
      </c>
      <c r="G324" s="17"/>
      <c r="H324" s="16" t="str">
        <f aca="true">IF(A324="","",IF(G324="✓","🟢 Revisado",IF(TODAY()&gt;=F324,"🟡 Revisar","Aguardando")))</f>
        <v/>
      </c>
    </row>
    <row r="325" customFormat="false" ht="15" hidden="false" customHeight="false" outlineLevel="0" collapsed="false">
      <c r="A325" s="30"/>
      <c r="B325" s="17"/>
      <c r="C325" s="18"/>
      <c r="D325" s="18"/>
      <c r="E325" s="18"/>
      <c r="F325" s="15" t="str">
        <f aca="false">IF(A325="","",A325+7)</f>
        <v/>
      </c>
      <c r="G325" s="17"/>
      <c r="H325" s="16" t="str">
        <f aca="true">IF(A325="","",IF(G325="✓","🟢 Revisado",IF(TODAY()&gt;=F325,"🟡 Revisar","Aguardando")))</f>
        <v/>
      </c>
    </row>
    <row r="326" customFormat="false" ht="15" hidden="false" customHeight="false" outlineLevel="0" collapsed="false">
      <c r="A326" s="30"/>
      <c r="B326" s="17"/>
      <c r="C326" s="18"/>
      <c r="D326" s="18"/>
      <c r="E326" s="18"/>
      <c r="F326" s="15" t="str">
        <f aca="false">IF(A326="","",A326+7)</f>
        <v/>
      </c>
      <c r="G326" s="17"/>
      <c r="H326" s="16" t="str">
        <f aca="true">IF(A326="","",IF(G326="✓","🟢 Revisado",IF(TODAY()&gt;=F326,"🟡 Revisar","Aguardando")))</f>
        <v/>
      </c>
    </row>
    <row r="327" customFormat="false" ht="15" hidden="false" customHeight="false" outlineLevel="0" collapsed="false">
      <c r="A327" s="30"/>
      <c r="B327" s="17"/>
      <c r="C327" s="18"/>
      <c r="D327" s="18"/>
      <c r="E327" s="18"/>
      <c r="F327" s="15" t="str">
        <f aca="false">IF(A327="","",A327+7)</f>
        <v/>
      </c>
      <c r="G327" s="17"/>
      <c r="H327" s="16" t="str">
        <f aca="true">IF(A327="","",IF(G327="✓","🟢 Revisado",IF(TODAY()&gt;=F327,"🟡 Revisar","Aguardando")))</f>
        <v/>
      </c>
    </row>
    <row r="328" customFormat="false" ht="15" hidden="false" customHeight="false" outlineLevel="0" collapsed="false">
      <c r="A328" s="30"/>
      <c r="B328" s="17"/>
      <c r="C328" s="18"/>
      <c r="D328" s="18"/>
      <c r="E328" s="18"/>
      <c r="F328" s="15" t="str">
        <f aca="false">IF(A328="","",A328+7)</f>
        <v/>
      </c>
      <c r="G328" s="17"/>
      <c r="H328" s="16" t="str">
        <f aca="true">IF(A328="","",IF(G328="✓","🟢 Revisado",IF(TODAY()&gt;=F328,"🟡 Revisar","Aguardando")))</f>
        <v/>
      </c>
    </row>
    <row r="329" customFormat="false" ht="15" hidden="false" customHeight="false" outlineLevel="0" collapsed="false">
      <c r="A329" s="30"/>
      <c r="B329" s="17"/>
      <c r="C329" s="18"/>
      <c r="D329" s="18"/>
      <c r="E329" s="18"/>
      <c r="F329" s="15" t="str">
        <f aca="false">IF(A329="","",A329+7)</f>
        <v/>
      </c>
      <c r="G329" s="17"/>
      <c r="H329" s="16" t="str">
        <f aca="true">IF(A329="","",IF(G329="✓","🟢 Revisado",IF(TODAY()&gt;=F329,"🟡 Revisar","Aguardando")))</f>
        <v/>
      </c>
    </row>
    <row r="330" customFormat="false" ht="15" hidden="false" customHeight="false" outlineLevel="0" collapsed="false">
      <c r="A330" s="30"/>
      <c r="B330" s="17"/>
      <c r="C330" s="18"/>
      <c r="D330" s="18"/>
      <c r="E330" s="18"/>
      <c r="F330" s="15" t="str">
        <f aca="false">IF(A330="","",A330+7)</f>
        <v/>
      </c>
      <c r="G330" s="17"/>
      <c r="H330" s="16" t="str">
        <f aca="true">IF(A330="","",IF(G330="✓","🟢 Revisado",IF(TODAY()&gt;=F330,"🟡 Revisar","Aguardando")))</f>
        <v/>
      </c>
    </row>
    <row r="331" customFormat="false" ht="15" hidden="false" customHeight="false" outlineLevel="0" collapsed="false">
      <c r="A331" s="30"/>
      <c r="B331" s="17"/>
      <c r="C331" s="18"/>
      <c r="D331" s="18"/>
      <c r="E331" s="18"/>
      <c r="F331" s="15" t="str">
        <f aca="false">IF(A331="","",A331+7)</f>
        <v/>
      </c>
      <c r="G331" s="17"/>
      <c r="H331" s="16" t="str">
        <f aca="true">IF(A331="","",IF(G331="✓","🟢 Revisado",IF(TODAY()&gt;=F331,"🟡 Revisar","Aguardando")))</f>
        <v/>
      </c>
    </row>
    <row r="332" customFormat="false" ht="15" hidden="false" customHeight="false" outlineLevel="0" collapsed="false">
      <c r="A332" s="30"/>
      <c r="B332" s="17"/>
      <c r="C332" s="18"/>
      <c r="D332" s="18"/>
      <c r="E332" s="18"/>
      <c r="F332" s="15" t="str">
        <f aca="false">IF(A332="","",A332+7)</f>
        <v/>
      </c>
      <c r="G332" s="17"/>
      <c r="H332" s="16" t="str">
        <f aca="true">IF(A332="","",IF(G332="✓","🟢 Revisado",IF(TODAY()&gt;=F332,"🟡 Revisar","Aguardando")))</f>
        <v/>
      </c>
    </row>
    <row r="333" customFormat="false" ht="15" hidden="false" customHeight="false" outlineLevel="0" collapsed="false">
      <c r="A333" s="30"/>
      <c r="B333" s="17"/>
      <c r="C333" s="18"/>
      <c r="D333" s="18"/>
      <c r="E333" s="18"/>
      <c r="F333" s="15" t="str">
        <f aca="false">IF(A333="","",A333+7)</f>
        <v/>
      </c>
      <c r="G333" s="17"/>
      <c r="H333" s="16" t="str">
        <f aca="true">IF(A333="","",IF(G333="✓","🟢 Revisado",IF(TODAY()&gt;=F333,"🟡 Revisar","Aguardando")))</f>
        <v/>
      </c>
    </row>
    <row r="334" customFormat="false" ht="15" hidden="false" customHeight="false" outlineLevel="0" collapsed="false">
      <c r="A334" s="30"/>
      <c r="B334" s="17"/>
      <c r="C334" s="18"/>
      <c r="D334" s="18"/>
      <c r="E334" s="18"/>
      <c r="F334" s="15" t="str">
        <f aca="false">IF(A334="","",A334+7)</f>
        <v/>
      </c>
      <c r="G334" s="17"/>
      <c r="H334" s="16" t="str">
        <f aca="true">IF(A334="","",IF(G334="✓","🟢 Revisado",IF(TODAY()&gt;=F334,"🟡 Revisar","Aguardando")))</f>
        <v/>
      </c>
    </row>
    <row r="335" customFormat="false" ht="15" hidden="false" customHeight="false" outlineLevel="0" collapsed="false">
      <c r="A335" s="30"/>
      <c r="B335" s="17"/>
      <c r="C335" s="18"/>
      <c r="D335" s="18"/>
      <c r="E335" s="18"/>
      <c r="F335" s="15" t="str">
        <f aca="false">IF(A335="","",A335+7)</f>
        <v/>
      </c>
      <c r="G335" s="17"/>
      <c r="H335" s="16" t="str">
        <f aca="true">IF(A335="","",IF(G335="✓","🟢 Revisado",IF(TODAY()&gt;=F335,"🟡 Revisar","Aguardando")))</f>
        <v/>
      </c>
    </row>
    <row r="336" customFormat="false" ht="15" hidden="false" customHeight="false" outlineLevel="0" collapsed="false">
      <c r="A336" s="30"/>
      <c r="B336" s="17"/>
      <c r="C336" s="18"/>
      <c r="D336" s="18"/>
      <c r="E336" s="18"/>
      <c r="F336" s="15" t="str">
        <f aca="false">IF(A336="","",A336+7)</f>
        <v/>
      </c>
      <c r="G336" s="17"/>
      <c r="H336" s="16" t="str">
        <f aca="true">IF(A336="","",IF(G336="✓","🟢 Revisado",IF(TODAY()&gt;=F336,"🟡 Revisar","Aguardando")))</f>
        <v/>
      </c>
    </row>
    <row r="337" customFormat="false" ht="15" hidden="false" customHeight="false" outlineLevel="0" collapsed="false">
      <c r="A337" s="30"/>
      <c r="B337" s="17"/>
      <c r="C337" s="18"/>
      <c r="D337" s="18"/>
      <c r="E337" s="18"/>
      <c r="F337" s="15" t="str">
        <f aca="false">IF(A337="","",A337+7)</f>
        <v/>
      </c>
      <c r="G337" s="17"/>
      <c r="H337" s="16" t="str">
        <f aca="true">IF(A337="","",IF(G337="✓","🟢 Revisado",IF(TODAY()&gt;=F337,"🟡 Revisar","Aguardando")))</f>
        <v/>
      </c>
    </row>
    <row r="338" customFormat="false" ht="15" hidden="false" customHeight="false" outlineLevel="0" collapsed="false">
      <c r="A338" s="30"/>
      <c r="B338" s="17"/>
      <c r="C338" s="18"/>
      <c r="D338" s="18"/>
      <c r="E338" s="18"/>
      <c r="F338" s="15" t="str">
        <f aca="false">IF(A338="","",A338+7)</f>
        <v/>
      </c>
      <c r="G338" s="17"/>
      <c r="H338" s="16" t="str">
        <f aca="true">IF(A338="","",IF(G338="✓","🟢 Revisado",IF(TODAY()&gt;=F338,"🟡 Revisar","Aguardando")))</f>
        <v/>
      </c>
    </row>
    <row r="339" customFormat="false" ht="15" hidden="false" customHeight="false" outlineLevel="0" collapsed="false">
      <c r="A339" s="30"/>
      <c r="B339" s="17"/>
      <c r="C339" s="18"/>
      <c r="D339" s="18"/>
      <c r="E339" s="18"/>
      <c r="F339" s="15" t="str">
        <f aca="false">IF(A339="","",A339+7)</f>
        <v/>
      </c>
      <c r="G339" s="17"/>
      <c r="H339" s="16" t="str">
        <f aca="true">IF(A339="","",IF(G339="✓","🟢 Revisado",IF(TODAY()&gt;=F339,"🟡 Revisar","Aguardando")))</f>
        <v/>
      </c>
    </row>
    <row r="340" customFormat="false" ht="15" hidden="false" customHeight="false" outlineLevel="0" collapsed="false">
      <c r="A340" s="30"/>
      <c r="B340" s="17"/>
      <c r="C340" s="18"/>
      <c r="D340" s="18"/>
      <c r="E340" s="18"/>
      <c r="F340" s="15" t="str">
        <f aca="false">IF(A340="","",A340+7)</f>
        <v/>
      </c>
      <c r="G340" s="17"/>
      <c r="H340" s="16" t="str">
        <f aca="true">IF(A340="","",IF(G340="✓","🟢 Revisado",IF(TODAY()&gt;=F340,"🟡 Revisar","Aguardando")))</f>
        <v/>
      </c>
    </row>
    <row r="341" customFormat="false" ht="15" hidden="false" customHeight="false" outlineLevel="0" collapsed="false">
      <c r="A341" s="30"/>
      <c r="B341" s="17"/>
      <c r="C341" s="18"/>
      <c r="D341" s="18"/>
      <c r="E341" s="18"/>
      <c r="F341" s="15" t="str">
        <f aca="false">IF(A341="","",A341+7)</f>
        <v/>
      </c>
      <c r="G341" s="17"/>
      <c r="H341" s="16" t="str">
        <f aca="true">IF(A341="","",IF(G341="✓","🟢 Revisado",IF(TODAY()&gt;=F341,"🟡 Revisar","Aguardando")))</f>
        <v/>
      </c>
    </row>
    <row r="342" customFormat="false" ht="15" hidden="false" customHeight="false" outlineLevel="0" collapsed="false">
      <c r="A342" s="30"/>
      <c r="B342" s="17"/>
      <c r="C342" s="18"/>
      <c r="D342" s="18"/>
      <c r="E342" s="18"/>
      <c r="F342" s="15" t="str">
        <f aca="false">IF(A342="","",A342+7)</f>
        <v/>
      </c>
      <c r="G342" s="17"/>
      <c r="H342" s="16" t="str">
        <f aca="true">IF(A342="","",IF(G342="✓","🟢 Revisado",IF(TODAY()&gt;=F342,"🟡 Revisar","Aguardando")))</f>
        <v/>
      </c>
    </row>
    <row r="343" customFormat="false" ht="15" hidden="false" customHeight="false" outlineLevel="0" collapsed="false">
      <c r="A343" s="30"/>
      <c r="B343" s="17"/>
      <c r="C343" s="18"/>
      <c r="D343" s="18"/>
      <c r="E343" s="18"/>
      <c r="F343" s="15" t="str">
        <f aca="false">IF(A343="","",A343+7)</f>
        <v/>
      </c>
      <c r="G343" s="17"/>
      <c r="H343" s="16" t="str">
        <f aca="true">IF(A343="","",IF(G343="✓","🟢 Revisado",IF(TODAY()&gt;=F343,"🟡 Revisar","Aguardando")))</f>
        <v/>
      </c>
    </row>
    <row r="344" customFormat="false" ht="15" hidden="false" customHeight="false" outlineLevel="0" collapsed="false">
      <c r="A344" s="30"/>
      <c r="B344" s="17"/>
      <c r="C344" s="18"/>
      <c r="D344" s="18"/>
      <c r="E344" s="18"/>
      <c r="F344" s="15" t="str">
        <f aca="false">IF(A344="","",A344+7)</f>
        <v/>
      </c>
      <c r="G344" s="17"/>
      <c r="H344" s="16" t="str">
        <f aca="true">IF(A344="","",IF(G344="✓","🟢 Revisado",IF(TODAY()&gt;=F344,"🟡 Revisar","Aguardando")))</f>
        <v/>
      </c>
    </row>
    <row r="345" customFormat="false" ht="15" hidden="false" customHeight="false" outlineLevel="0" collapsed="false">
      <c r="A345" s="30"/>
      <c r="B345" s="17"/>
      <c r="C345" s="18"/>
      <c r="D345" s="18"/>
      <c r="E345" s="18"/>
      <c r="F345" s="15" t="str">
        <f aca="false">IF(A345="","",A345+7)</f>
        <v/>
      </c>
      <c r="G345" s="17"/>
      <c r="H345" s="16" t="str">
        <f aca="true">IF(A345="","",IF(G345="✓","🟢 Revisado",IF(TODAY()&gt;=F345,"🟡 Revisar","Aguardando")))</f>
        <v/>
      </c>
    </row>
    <row r="346" customFormat="false" ht="15" hidden="false" customHeight="false" outlineLevel="0" collapsed="false">
      <c r="A346" s="30"/>
      <c r="B346" s="17"/>
      <c r="C346" s="18"/>
      <c r="D346" s="18"/>
      <c r="E346" s="18"/>
      <c r="F346" s="15" t="str">
        <f aca="false">IF(A346="","",A346+7)</f>
        <v/>
      </c>
      <c r="G346" s="17"/>
      <c r="H346" s="16" t="str">
        <f aca="true">IF(A346="","",IF(G346="✓","🟢 Revisado",IF(TODAY()&gt;=F346,"🟡 Revisar","Aguardando")))</f>
        <v/>
      </c>
    </row>
    <row r="347" customFormat="false" ht="15" hidden="false" customHeight="false" outlineLevel="0" collapsed="false">
      <c r="A347" s="30"/>
      <c r="B347" s="17"/>
      <c r="C347" s="18"/>
      <c r="D347" s="18"/>
      <c r="E347" s="18"/>
      <c r="F347" s="15" t="str">
        <f aca="false">IF(A347="","",A347+7)</f>
        <v/>
      </c>
      <c r="G347" s="17"/>
      <c r="H347" s="16" t="str">
        <f aca="true">IF(A347="","",IF(G347="✓","🟢 Revisado",IF(TODAY()&gt;=F347,"🟡 Revisar","Aguardando")))</f>
        <v/>
      </c>
    </row>
    <row r="348" customFormat="false" ht="15" hidden="false" customHeight="false" outlineLevel="0" collapsed="false">
      <c r="A348" s="30"/>
      <c r="B348" s="17"/>
      <c r="C348" s="18"/>
      <c r="D348" s="18"/>
      <c r="E348" s="18"/>
      <c r="F348" s="15" t="str">
        <f aca="false">IF(A348="","",A348+7)</f>
        <v/>
      </c>
      <c r="G348" s="17"/>
      <c r="H348" s="16" t="str">
        <f aca="true">IF(A348="","",IF(G348="✓","🟢 Revisado",IF(TODAY()&gt;=F348,"🟡 Revisar","Aguardando")))</f>
        <v/>
      </c>
    </row>
    <row r="349" customFormat="false" ht="15" hidden="false" customHeight="false" outlineLevel="0" collapsed="false">
      <c r="A349" s="30"/>
      <c r="B349" s="17"/>
      <c r="C349" s="18"/>
      <c r="D349" s="18"/>
      <c r="E349" s="18"/>
      <c r="F349" s="15" t="str">
        <f aca="false">IF(A349="","",A349+7)</f>
        <v/>
      </c>
      <c r="G349" s="17"/>
      <c r="H349" s="16" t="str">
        <f aca="true">IF(A349="","",IF(G349="✓","🟢 Revisado",IF(TODAY()&gt;=F349,"🟡 Revisar","Aguardando")))</f>
        <v/>
      </c>
    </row>
    <row r="350" customFormat="false" ht="15" hidden="false" customHeight="false" outlineLevel="0" collapsed="false">
      <c r="A350" s="30"/>
      <c r="B350" s="17"/>
      <c r="C350" s="18"/>
      <c r="D350" s="18"/>
      <c r="E350" s="18"/>
      <c r="F350" s="15" t="str">
        <f aca="false">IF(A350="","",A350+7)</f>
        <v/>
      </c>
      <c r="G350" s="17"/>
      <c r="H350" s="16" t="str">
        <f aca="true">IF(A350="","",IF(G350="✓","🟢 Revisado",IF(TODAY()&gt;=F350,"🟡 Revisar","Aguardando")))</f>
        <v/>
      </c>
    </row>
    <row r="351" customFormat="false" ht="15" hidden="false" customHeight="false" outlineLevel="0" collapsed="false">
      <c r="A351" s="30"/>
      <c r="B351" s="17"/>
      <c r="C351" s="18"/>
      <c r="D351" s="18"/>
      <c r="E351" s="18"/>
      <c r="F351" s="15" t="str">
        <f aca="false">IF(A351="","",A351+7)</f>
        <v/>
      </c>
      <c r="G351" s="17"/>
      <c r="H351" s="16" t="str">
        <f aca="true">IF(A351="","",IF(G351="✓","🟢 Revisado",IF(TODAY()&gt;=F351,"🟡 Revisar","Aguardando")))</f>
        <v/>
      </c>
    </row>
    <row r="352" customFormat="false" ht="15" hidden="false" customHeight="false" outlineLevel="0" collapsed="false">
      <c r="A352" s="30"/>
      <c r="B352" s="17"/>
      <c r="C352" s="18"/>
      <c r="D352" s="18"/>
      <c r="E352" s="18"/>
      <c r="F352" s="15" t="str">
        <f aca="false">IF(A352="","",A352+7)</f>
        <v/>
      </c>
      <c r="G352" s="17"/>
      <c r="H352" s="16" t="str">
        <f aca="true">IF(A352="","",IF(G352="✓","🟢 Revisado",IF(TODAY()&gt;=F352,"🟡 Revisar","Aguardando")))</f>
        <v/>
      </c>
    </row>
    <row r="353" customFormat="false" ht="15" hidden="false" customHeight="false" outlineLevel="0" collapsed="false">
      <c r="A353" s="30"/>
      <c r="B353" s="17"/>
      <c r="C353" s="18"/>
      <c r="D353" s="18"/>
      <c r="E353" s="18"/>
      <c r="F353" s="15" t="str">
        <f aca="false">IF(A353="","",A353+7)</f>
        <v/>
      </c>
      <c r="G353" s="17"/>
      <c r="H353" s="16" t="str">
        <f aca="true">IF(A353="","",IF(G353="✓","🟢 Revisado",IF(TODAY()&gt;=F353,"🟡 Revisar","Aguardando")))</f>
        <v/>
      </c>
    </row>
    <row r="354" customFormat="false" ht="15" hidden="false" customHeight="false" outlineLevel="0" collapsed="false">
      <c r="A354" s="30"/>
      <c r="B354" s="17"/>
      <c r="C354" s="18"/>
      <c r="D354" s="18"/>
      <c r="E354" s="18"/>
      <c r="F354" s="15" t="str">
        <f aca="false">IF(A354="","",A354+7)</f>
        <v/>
      </c>
      <c r="G354" s="17"/>
      <c r="H354" s="16" t="str">
        <f aca="true">IF(A354="","",IF(G354="✓","🟢 Revisado",IF(TODAY()&gt;=F354,"🟡 Revisar","Aguardando")))</f>
        <v/>
      </c>
    </row>
    <row r="355" customFormat="false" ht="15" hidden="false" customHeight="false" outlineLevel="0" collapsed="false">
      <c r="A355" s="30"/>
      <c r="B355" s="17"/>
      <c r="C355" s="18"/>
      <c r="D355" s="18"/>
      <c r="E355" s="18"/>
      <c r="F355" s="15" t="str">
        <f aca="false">IF(A355="","",A355+7)</f>
        <v/>
      </c>
      <c r="G355" s="17"/>
      <c r="H355" s="16" t="str">
        <f aca="true">IF(A355="","",IF(G355="✓","🟢 Revisado",IF(TODAY()&gt;=F355,"🟡 Revisar","Aguardando")))</f>
        <v/>
      </c>
    </row>
    <row r="356" customFormat="false" ht="15" hidden="false" customHeight="false" outlineLevel="0" collapsed="false">
      <c r="A356" s="30"/>
      <c r="B356" s="17"/>
      <c r="C356" s="18"/>
      <c r="D356" s="18"/>
      <c r="E356" s="18"/>
      <c r="F356" s="15" t="str">
        <f aca="false">IF(A356="","",A356+7)</f>
        <v/>
      </c>
      <c r="G356" s="17"/>
      <c r="H356" s="16" t="str">
        <f aca="true">IF(A356="","",IF(G356="✓","🟢 Revisado",IF(TODAY()&gt;=F356,"🟡 Revisar","Aguardando")))</f>
        <v/>
      </c>
    </row>
    <row r="357" customFormat="false" ht="15" hidden="false" customHeight="false" outlineLevel="0" collapsed="false">
      <c r="A357" s="30"/>
      <c r="B357" s="17"/>
      <c r="C357" s="18"/>
      <c r="D357" s="18"/>
      <c r="E357" s="18"/>
      <c r="F357" s="15" t="str">
        <f aca="false">IF(A357="","",A357+7)</f>
        <v/>
      </c>
      <c r="G357" s="17"/>
      <c r="H357" s="16" t="str">
        <f aca="true">IF(A357="","",IF(G357="✓","🟢 Revisado",IF(TODAY()&gt;=F357,"🟡 Revisar","Aguardando")))</f>
        <v/>
      </c>
    </row>
    <row r="358" customFormat="false" ht="15" hidden="false" customHeight="false" outlineLevel="0" collapsed="false">
      <c r="A358" s="30"/>
      <c r="B358" s="17"/>
      <c r="C358" s="18"/>
      <c r="D358" s="18"/>
      <c r="E358" s="18"/>
      <c r="F358" s="15" t="str">
        <f aca="false">IF(A358="","",A358+7)</f>
        <v/>
      </c>
      <c r="G358" s="17"/>
      <c r="H358" s="16" t="str">
        <f aca="true">IF(A358="","",IF(G358="✓","🟢 Revisado",IF(TODAY()&gt;=F358,"🟡 Revisar","Aguardando")))</f>
        <v/>
      </c>
    </row>
    <row r="359" customFormat="false" ht="15" hidden="false" customHeight="false" outlineLevel="0" collapsed="false">
      <c r="A359" s="30"/>
      <c r="B359" s="17"/>
      <c r="C359" s="18"/>
      <c r="D359" s="18"/>
      <c r="E359" s="18"/>
      <c r="F359" s="15" t="str">
        <f aca="false">IF(A359="","",A359+7)</f>
        <v/>
      </c>
      <c r="G359" s="17"/>
      <c r="H359" s="16" t="str">
        <f aca="true">IF(A359="","",IF(G359="✓","🟢 Revisado",IF(TODAY()&gt;=F359,"🟡 Revisar","Aguardando")))</f>
        <v/>
      </c>
    </row>
    <row r="360" customFormat="false" ht="15" hidden="false" customHeight="false" outlineLevel="0" collapsed="false">
      <c r="A360" s="30"/>
      <c r="B360" s="17"/>
      <c r="C360" s="18"/>
      <c r="D360" s="18"/>
      <c r="E360" s="18"/>
      <c r="F360" s="15" t="str">
        <f aca="false">IF(A360="","",A360+7)</f>
        <v/>
      </c>
      <c r="G360" s="17"/>
      <c r="H360" s="16" t="str">
        <f aca="true">IF(A360="","",IF(G360="✓","🟢 Revisado",IF(TODAY()&gt;=F360,"🟡 Revisar","Aguardando")))</f>
        <v/>
      </c>
    </row>
    <row r="361" customFormat="false" ht="15" hidden="false" customHeight="false" outlineLevel="0" collapsed="false">
      <c r="A361" s="30"/>
      <c r="B361" s="17"/>
      <c r="C361" s="18"/>
      <c r="D361" s="18"/>
      <c r="E361" s="18"/>
      <c r="F361" s="15" t="str">
        <f aca="false">IF(A361="","",A361+7)</f>
        <v/>
      </c>
      <c r="G361" s="17"/>
      <c r="H361" s="16" t="str">
        <f aca="true">IF(A361="","",IF(G361="✓","🟢 Revisado",IF(TODAY()&gt;=F361,"🟡 Revisar","Aguardando")))</f>
        <v/>
      </c>
    </row>
    <row r="362" customFormat="false" ht="15" hidden="false" customHeight="false" outlineLevel="0" collapsed="false">
      <c r="A362" s="30"/>
      <c r="B362" s="17"/>
      <c r="C362" s="18"/>
      <c r="D362" s="18"/>
      <c r="E362" s="18"/>
      <c r="F362" s="15" t="str">
        <f aca="false">IF(A362="","",A362+7)</f>
        <v/>
      </c>
      <c r="G362" s="17"/>
      <c r="H362" s="16" t="str">
        <f aca="true">IF(A362="","",IF(G362="✓","🟢 Revisado",IF(TODAY()&gt;=F362,"🟡 Revisar","Aguardando")))</f>
        <v/>
      </c>
    </row>
    <row r="363" customFormat="false" ht="15" hidden="false" customHeight="false" outlineLevel="0" collapsed="false">
      <c r="A363" s="30"/>
      <c r="B363" s="17"/>
      <c r="C363" s="18"/>
      <c r="D363" s="18"/>
      <c r="E363" s="18"/>
      <c r="F363" s="15" t="str">
        <f aca="false">IF(A363="","",A363+7)</f>
        <v/>
      </c>
      <c r="G363" s="17"/>
      <c r="H363" s="16" t="str">
        <f aca="true">IF(A363="","",IF(G363="✓","🟢 Revisado",IF(TODAY()&gt;=F363,"🟡 Revisar","Aguardando")))</f>
        <v/>
      </c>
    </row>
    <row r="364" customFormat="false" ht="15" hidden="false" customHeight="false" outlineLevel="0" collapsed="false">
      <c r="A364" s="30"/>
      <c r="B364" s="17"/>
      <c r="C364" s="18"/>
      <c r="D364" s="18"/>
      <c r="E364" s="18"/>
      <c r="F364" s="15" t="str">
        <f aca="false">IF(A364="","",A364+7)</f>
        <v/>
      </c>
      <c r="G364" s="17"/>
      <c r="H364" s="16" t="str">
        <f aca="true">IF(A364="","",IF(G364="✓","🟢 Revisado",IF(TODAY()&gt;=F364,"🟡 Revisar","Aguardando")))</f>
        <v/>
      </c>
    </row>
    <row r="365" customFormat="false" ht="15" hidden="false" customHeight="false" outlineLevel="0" collapsed="false">
      <c r="A365" s="30"/>
      <c r="B365" s="17"/>
      <c r="C365" s="18"/>
      <c r="D365" s="18"/>
      <c r="E365" s="18"/>
      <c r="F365" s="15" t="str">
        <f aca="false">IF(A365="","",A365+7)</f>
        <v/>
      </c>
      <c r="G365" s="17"/>
      <c r="H365" s="16" t="str">
        <f aca="true">IF(A365="","",IF(G365="✓","🟢 Revisado",IF(TODAY()&gt;=F365,"🟡 Revisar","Aguardando")))</f>
        <v/>
      </c>
    </row>
    <row r="366" customFormat="false" ht="15" hidden="false" customHeight="false" outlineLevel="0" collapsed="false">
      <c r="A366" s="30"/>
      <c r="B366" s="17"/>
      <c r="C366" s="18"/>
      <c r="D366" s="18"/>
      <c r="E366" s="18"/>
      <c r="F366" s="15" t="str">
        <f aca="false">IF(A366="","",A366+7)</f>
        <v/>
      </c>
      <c r="G366" s="17"/>
      <c r="H366" s="16" t="str">
        <f aca="true">IF(A366="","",IF(G366="✓","🟢 Revisado",IF(TODAY()&gt;=F366,"🟡 Revisar","Aguardando")))</f>
        <v/>
      </c>
    </row>
    <row r="367" customFormat="false" ht="15" hidden="false" customHeight="false" outlineLevel="0" collapsed="false">
      <c r="A367" s="30"/>
      <c r="B367" s="17"/>
      <c r="C367" s="18"/>
      <c r="D367" s="18"/>
      <c r="E367" s="18"/>
      <c r="F367" s="15" t="str">
        <f aca="false">IF(A367="","",A367+7)</f>
        <v/>
      </c>
      <c r="G367" s="17"/>
      <c r="H367" s="16" t="str">
        <f aca="true">IF(A367="","",IF(G367="✓","🟢 Revisado",IF(TODAY()&gt;=F367,"🟡 Revisar","Aguardando")))</f>
        <v/>
      </c>
    </row>
    <row r="368" customFormat="false" ht="15" hidden="false" customHeight="false" outlineLevel="0" collapsed="false">
      <c r="A368" s="30"/>
      <c r="B368" s="17"/>
      <c r="C368" s="18"/>
      <c r="D368" s="18"/>
      <c r="E368" s="18"/>
      <c r="F368" s="15" t="str">
        <f aca="false">IF(A368="","",A368+7)</f>
        <v/>
      </c>
      <c r="G368" s="17"/>
      <c r="H368" s="16" t="str">
        <f aca="true">IF(A368="","",IF(G368="✓","🟢 Revisado",IF(TODAY()&gt;=F368,"🟡 Revisar","Aguardando")))</f>
        <v/>
      </c>
    </row>
    <row r="369" customFormat="false" ht="15" hidden="false" customHeight="false" outlineLevel="0" collapsed="false">
      <c r="A369" s="30"/>
      <c r="B369" s="17"/>
      <c r="C369" s="18"/>
      <c r="D369" s="18"/>
      <c r="E369" s="18"/>
      <c r="F369" s="15" t="str">
        <f aca="false">IF(A369="","",A369+7)</f>
        <v/>
      </c>
      <c r="G369" s="17"/>
      <c r="H369" s="16" t="str">
        <f aca="true">IF(A369="","",IF(G369="✓","🟢 Revisado",IF(TODAY()&gt;=F369,"🟡 Revisar","Aguardando")))</f>
        <v/>
      </c>
    </row>
    <row r="370" customFormat="false" ht="15" hidden="false" customHeight="false" outlineLevel="0" collapsed="false">
      <c r="A370" s="30"/>
      <c r="B370" s="17"/>
      <c r="C370" s="18"/>
      <c r="D370" s="18"/>
      <c r="E370" s="18"/>
      <c r="F370" s="15" t="str">
        <f aca="false">IF(A370="","",A370+7)</f>
        <v/>
      </c>
      <c r="G370" s="17"/>
      <c r="H370" s="16" t="str">
        <f aca="true">IF(A370="","",IF(G370="✓","🟢 Revisado",IF(TODAY()&gt;=F370,"🟡 Revisar","Aguardando")))</f>
        <v/>
      </c>
    </row>
    <row r="371" customFormat="false" ht="15" hidden="false" customHeight="false" outlineLevel="0" collapsed="false">
      <c r="A371" s="30"/>
      <c r="B371" s="17"/>
      <c r="C371" s="18"/>
      <c r="D371" s="18"/>
      <c r="E371" s="18"/>
      <c r="F371" s="15" t="str">
        <f aca="false">IF(A371="","",A371+7)</f>
        <v/>
      </c>
      <c r="G371" s="17"/>
      <c r="H371" s="16" t="str">
        <f aca="true">IF(A371="","",IF(G371="✓","🟢 Revisado",IF(TODAY()&gt;=F371,"🟡 Revisar","Aguardando")))</f>
        <v/>
      </c>
    </row>
    <row r="372" customFormat="false" ht="15" hidden="false" customHeight="false" outlineLevel="0" collapsed="false">
      <c r="A372" s="30"/>
      <c r="B372" s="17"/>
      <c r="C372" s="18"/>
      <c r="D372" s="18"/>
      <c r="E372" s="18"/>
      <c r="F372" s="15" t="str">
        <f aca="false">IF(A372="","",A372+7)</f>
        <v/>
      </c>
      <c r="G372" s="17"/>
      <c r="H372" s="16" t="str">
        <f aca="true">IF(A372="","",IF(G372="✓","🟢 Revisado",IF(TODAY()&gt;=F372,"🟡 Revisar","Aguardando")))</f>
        <v/>
      </c>
    </row>
    <row r="373" customFormat="false" ht="15" hidden="false" customHeight="false" outlineLevel="0" collapsed="false">
      <c r="A373" s="30"/>
      <c r="B373" s="17"/>
      <c r="C373" s="18"/>
      <c r="D373" s="18"/>
      <c r="E373" s="18"/>
      <c r="F373" s="15" t="str">
        <f aca="false">IF(A373="","",A373+7)</f>
        <v/>
      </c>
      <c r="G373" s="17"/>
      <c r="H373" s="16" t="str">
        <f aca="true">IF(A373="","",IF(G373="✓","🟢 Revisado",IF(TODAY()&gt;=F373,"🟡 Revisar","Aguardando")))</f>
        <v/>
      </c>
    </row>
    <row r="374" customFormat="false" ht="15" hidden="false" customHeight="false" outlineLevel="0" collapsed="false">
      <c r="A374" s="30"/>
      <c r="B374" s="17"/>
      <c r="C374" s="18"/>
      <c r="D374" s="18"/>
      <c r="E374" s="18"/>
      <c r="F374" s="15" t="str">
        <f aca="false">IF(A374="","",A374+7)</f>
        <v/>
      </c>
      <c r="G374" s="17"/>
      <c r="H374" s="16" t="str">
        <f aca="true">IF(A374="","",IF(G374="✓","🟢 Revisado",IF(TODAY()&gt;=F374,"🟡 Revisar","Aguardando")))</f>
        <v/>
      </c>
    </row>
    <row r="375" customFormat="false" ht="15" hidden="false" customHeight="false" outlineLevel="0" collapsed="false">
      <c r="A375" s="30"/>
      <c r="B375" s="17"/>
      <c r="C375" s="18"/>
      <c r="D375" s="18"/>
      <c r="E375" s="18"/>
      <c r="F375" s="15" t="str">
        <f aca="false">IF(A375="","",A375+7)</f>
        <v/>
      </c>
      <c r="G375" s="17"/>
      <c r="H375" s="16" t="str">
        <f aca="true">IF(A375="","",IF(G375="✓","🟢 Revisado",IF(TODAY()&gt;=F375,"🟡 Revisar","Aguardando")))</f>
        <v/>
      </c>
    </row>
    <row r="376" customFormat="false" ht="15" hidden="false" customHeight="false" outlineLevel="0" collapsed="false">
      <c r="A376" s="30"/>
      <c r="B376" s="17"/>
      <c r="C376" s="18"/>
      <c r="D376" s="18"/>
      <c r="E376" s="18"/>
      <c r="F376" s="15" t="str">
        <f aca="false">IF(A376="","",A376+7)</f>
        <v/>
      </c>
      <c r="G376" s="17"/>
      <c r="H376" s="16" t="str">
        <f aca="true">IF(A376="","",IF(G376="✓","🟢 Revisado",IF(TODAY()&gt;=F376,"🟡 Revisar","Aguardando")))</f>
        <v/>
      </c>
    </row>
    <row r="377" customFormat="false" ht="15" hidden="false" customHeight="false" outlineLevel="0" collapsed="false">
      <c r="A377" s="30"/>
      <c r="B377" s="17"/>
      <c r="C377" s="18"/>
      <c r="D377" s="18"/>
      <c r="E377" s="18"/>
      <c r="F377" s="15" t="str">
        <f aca="false">IF(A377="","",A377+7)</f>
        <v/>
      </c>
      <c r="G377" s="17"/>
      <c r="H377" s="16" t="str">
        <f aca="true">IF(A377="","",IF(G377="✓","🟢 Revisado",IF(TODAY()&gt;=F377,"🟡 Revisar","Aguardando")))</f>
        <v/>
      </c>
    </row>
    <row r="378" customFormat="false" ht="15" hidden="false" customHeight="false" outlineLevel="0" collapsed="false">
      <c r="A378" s="30"/>
      <c r="B378" s="17"/>
      <c r="C378" s="18"/>
      <c r="D378" s="18"/>
      <c r="E378" s="18"/>
      <c r="F378" s="15" t="str">
        <f aca="false">IF(A378="","",A378+7)</f>
        <v/>
      </c>
      <c r="G378" s="17"/>
      <c r="H378" s="16" t="str">
        <f aca="true">IF(A378="","",IF(G378="✓","🟢 Revisado",IF(TODAY()&gt;=F378,"🟡 Revisar","Aguardando")))</f>
        <v/>
      </c>
    </row>
    <row r="379" customFormat="false" ht="15" hidden="false" customHeight="false" outlineLevel="0" collapsed="false">
      <c r="A379" s="30"/>
      <c r="B379" s="17"/>
      <c r="C379" s="18"/>
      <c r="D379" s="18"/>
      <c r="E379" s="18"/>
      <c r="F379" s="15" t="str">
        <f aca="false">IF(A379="","",A379+7)</f>
        <v/>
      </c>
      <c r="G379" s="17"/>
      <c r="H379" s="16" t="str">
        <f aca="true">IF(A379="","",IF(G379="✓","🟢 Revisado",IF(TODAY()&gt;=F379,"🟡 Revisar","Aguardando")))</f>
        <v/>
      </c>
    </row>
    <row r="380" customFormat="false" ht="15" hidden="false" customHeight="false" outlineLevel="0" collapsed="false">
      <c r="A380" s="30"/>
      <c r="B380" s="17"/>
      <c r="C380" s="18"/>
      <c r="D380" s="18"/>
      <c r="E380" s="18"/>
      <c r="F380" s="15" t="str">
        <f aca="false">IF(A380="","",A380+7)</f>
        <v/>
      </c>
      <c r="G380" s="17"/>
      <c r="H380" s="16" t="str">
        <f aca="true">IF(A380="","",IF(G380="✓","🟢 Revisado",IF(TODAY()&gt;=F380,"🟡 Revisar","Aguardando")))</f>
        <v/>
      </c>
    </row>
    <row r="381" customFormat="false" ht="15" hidden="false" customHeight="false" outlineLevel="0" collapsed="false">
      <c r="A381" s="30"/>
      <c r="B381" s="17"/>
      <c r="C381" s="18"/>
      <c r="D381" s="18"/>
      <c r="E381" s="18"/>
      <c r="F381" s="15" t="str">
        <f aca="false">IF(A381="","",A381+7)</f>
        <v/>
      </c>
      <c r="G381" s="17"/>
      <c r="H381" s="16" t="str">
        <f aca="true">IF(A381="","",IF(G381="✓","🟢 Revisado",IF(TODAY()&gt;=F381,"🟡 Revisar","Aguardando")))</f>
        <v/>
      </c>
    </row>
    <row r="382" customFormat="false" ht="15" hidden="false" customHeight="false" outlineLevel="0" collapsed="false">
      <c r="A382" s="30"/>
      <c r="B382" s="17"/>
      <c r="C382" s="18"/>
      <c r="D382" s="18"/>
      <c r="E382" s="18"/>
      <c r="F382" s="15" t="str">
        <f aca="false">IF(A382="","",A382+7)</f>
        <v/>
      </c>
      <c r="G382" s="17"/>
      <c r="H382" s="16" t="str">
        <f aca="true">IF(A382="","",IF(G382="✓","🟢 Revisado",IF(TODAY()&gt;=F382,"🟡 Revisar","Aguardando")))</f>
        <v/>
      </c>
    </row>
    <row r="383" customFormat="false" ht="15" hidden="false" customHeight="false" outlineLevel="0" collapsed="false">
      <c r="A383" s="30"/>
      <c r="B383" s="17"/>
      <c r="C383" s="18"/>
      <c r="D383" s="18"/>
      <c r="E383" s="18"/>
      <c r="F383" s="15" t="str">
        <f aca="false">IF(A383="","",A383+7)</f>
        <v/>
      </c>
      <c r="G383" s="17"/>
      <c r="H383" s="16" t="str">
        <f aca="true">IF(A383="","",IF(G383="✓","🟢 Revisado",IF(TODAY()&gt;=F383,"🟡 Revisar","Aguardando")))</f>
        <v/>
      </c>
    </row>
    <row r="384" customFormat="false" ht="15" hidden="false" customHeight="false" outlineLevel="0" collapsed="false">
      <c r="A384" s="30"/>
      <c r="B384" s="17"/>
      <c r="C384" s="18"/>
      <c r="D384" s="18"/>
      <c r="E384" s="18"/>
      <c r="F384" s="15" t="str">
        <f aca="false">IF(A384="","",A384+7)</f>
        <v/>
      </c>
      <c r="G384" s="17"/>
      <c r="H384" s="16" t="str">
        <f aca="true">IF(A384="","",IF(G384="✓","🟢 Revisado",IF(TODAY()&gt;=F384,"🟡 Revisar","Aguardando")))</f>
        <v/>
      </c>
    </row>
    <row r="385" customFormat="false" ht="15" hidden="false" customHeight="false" outlineLevel="0" collapsed="false">
      <c r="A385" s="30"/>
      <c r="B385" s="17"/>
      <c r="C385" s="18"/>
      <c r="D385" s="18"/>
      <c r="E385" s="18"/>
      <c r="F385" s="15" t="str">
        <f aca="false">IF(A385="","",A385+7)</f>
        <v/>
      </c>
      <c r="G385" s="17"/>
      <c r="H385" s="16" t="str">
        <f aca="true">IF(A385="","",IF(G385="✓","🟢 Revisado",IF(TODAY()&gt;=F385,"🟡 Revisar","Aguardando")))</f>
        <v/>
      </c>
    </row>
    <row r="386" customFormat="false" ht="15" hidden="false" customHeight="false" outlineLevel="0" collapsed="false">
      <c r="A386" s="30"/>
      <c r="B386" s="17"/>
      <c r="C386" s="18"/>
      <c r="D386" s="18"/>
      <c r="E386" s="18"/>
      <c r="F386" s="15" t="str">
        <f aca="false">IF(A386="","",A386+7)</f>
        <v/>
      </c>
      <c r="G386" s="17"/>
      <c r="H386" s="16" t="str">
        <f aca="true">IF(A386="","",IF(G386="✓","🟢 Revisado",IF(TODAY()&gt;=F386,"🟡 Revisar","Aguardando")))</f>
        <v/>
      </c>
    </row>
    <row r="387" customFormat="false" ht="15" hidden="false" customHeight="false" outlineLevel="0" collapsed="false">
      <c r="A387" s="30"/>
      <c r="B387" s="17"/>
      <c r="C387" s="18"/>
      <c r="D387" s="18"/>
      <c r="E387" s="18"/>
      <c r="F387" s="15" t="str">
        <f aca="false">IF(A387="","",A387+7)</f>
        <v/>
      </c>
      <c r="G387" s="17"/>
      <c r="H387" s="16" t="str">
        <f aca="true">IF(A387="","",IF(G387="✓","🟢 Revisado",IF(TODAY()&gt;=F387,"🟡 Revisar","Aguardando")))</f>
        <v/>
      </c>
    </row>
    <row r="388" customFormat="false" ht="15" hidden="false" customHeight="false" outlineLevel="0" collapsed="false">
      <c r="A388" s="30"/>
      <c r="B388" s="17"/>
      <c r="C388" s="18"/>
      <c r="D388" s="18"/>
      <c r="E388" s="18"/>
      <c r="F388" s="15" t="str">
        <f aca="false">IF(A388="","",A388+7)</f>
        <v/>
      </c>
      <c r="G388" s="17"/>
      <c r="H388" s="16" t="str">
        <f aca="true">IF(A388="","",IF(G388="✓","🟢 Revisado",IF(TODAY()&gt;=F388,"🟡 Revisar","Aguardando")))</f>
        <v/>
      </c>
    </row>
    <row r="389" customFormat="false" ht="15" hidden="false" customHeight="false" outlineLevel="0" collapsed="false">
      <c r="A389" s="30"/>
      <c r="B389" s="17"/>
      <c r="C389" s="18"/>
      <c r="D389" s="18"/>
      <c r="E389" s="18"/>
      <c r="F389" s="15" t="str">
        <f aca="false">IF(A389="","",A389+7)</f>
        <v/>
      </c>
      <c r="G389" s="17"/>
      <c r="H389" s="16" t="str">
        <f aca="true">IF(A389="","",IF(G389="✓","🟢 Revisado",IF(TODAY()&gt;=F389,"🟡 Revisar","Aguardando")))</f>
        <v/>
      </c>
    </row>
    <row r="390" customFormat="false" ht="15" hidden="false" customHeight="false" outlineLevel="0" collapsed="false">
      <c r="A390" s="30"/>
      <c r="B390" s="17"/>
      <c r="C390" s="18"/>
      <c r="D390" s="18"/>
      <c r="E390" s="18"/>
      <c r="F390" s="15" t="str">
        <f aca="false">IF(A390="","",A390+7)</f>
        <v/>
      </c>
      <c r="G390" s="17"/>
      <c r="H390" s="16" t="str">
        <f aca="true">IF(A390="","",IF(G390="✓","🟢 Revisado",IF(TODAY()&gt;=F390,"🟡 Revisar","Aguardando")))</f>
        <v/>
      </c>
    </row>
    <row r="391" customFormat="false" ht="15" hidden="false" customHeight="false" outlineLevel="0" collapsed="false">
      <c r="A391" s="30"/>
      <c r="B391" s="17"/>
      <c r="C391" s="18"/>
      <c r="D391" s="18"/>
      <c r="E391" s="18"/>
      <c r="F391" s="15" t="str">
        <f aca="false">IF(A391="","",A391+7)</f>
        <v/>
      </c>
      <c r="G391" s="17"/>
      <c r="H391" s="16" t="str">
        <f aca="true">IF(A391="","",IF(G391="✓","🟢 Revisado",IF(TODAY()&gt;=F391,"🟡 Revisar","Aguardando")))</f>
        <v/>
      </c>
    </row>
    <row r="392" customFormat="false" ht="15" hidden="false" customHeight="false" outlineLevel="0" collapsed="false">
      <c r="A392" s="30"/>
      <c r="B392" s="17"/>
      <c r="C392" s="18"/>
      <c r="D392" s="18"/>
      <c r="E392" s="18"/>
      <c r="F392" s="15" t="str">
        <f aca="false">IF(A392="","",A392+7)</f>
        <v/>
      </c>
      <c r="G392" s="17"/>
      <c r="H392" s="16" t="str">
        <f aca="true">IF(A392="","",IF(G392="✓","🟢 Revisado",IF(TODAY()&gt;=F392,"🟡 Revisar","Aguardando")))</f>
        <v/>
      </c>
    </row>
    <row r="393" customFormat="false" ht="15" hidden="false" customHeight="false" outlineLevel="0" collapsed="false">
      <c r="A393" s="30"/>
      <c r="B393" s="17"/>
      <c r="C393" s="18"/>
      <c r="D393" s="18"/>
      <c r="E393" s="18"/>
      <c r="F393" s="15" t="str">
        <f aca="false">IF(A393="","",A393+7)</f>
        <v/>
      </c>
      <c r="G393" s="17"/>
      <c r="H393" s="16" t="str">
        <f aca="true">IF(A393="","",IF(G393="✓","🟢 Revisado",IF(TODAY()&gt;=F393,"🟡 Revisar","Aguardando")))</f>
        <v/>
      </c>
    </row>
    <row r="394" customFormat="false" ht="15" hidden="false" customHeight="false" outlineLevel="0" collapsed="false">
      <c r="A394" s="30"/>
      <c r="B394" s="17"/>
      <c r="C394" s="18"/>
      <c r="D394" s="18"/>
      <c r="E394" s="18"/>
      <c r="F394" s="15" t="str">
        <f aca="false">IF(A394="","",A394+7)</f>
        <v/>
      </c>
      <c r="G394" s="17"/>
      <c r="H394" s="16" t="str">
        <f aca="true">IF(A394="","",IF(G394="✓","🟢 Revisado",IF(TODAY()&gt;=F394,"🟡 Revisar","Aguardando")))</f>
        <v/>
      </c>
    </row>
    <row r="395" customFormat="false" ht="15" hidden="false" customHeight="false" outlineLevel="0" collapsed="false">
      <c r="A395" s="30"/>
      <c r="B395" s="17"/>
      <c r="C395" s="18"/>
      <c r="D395" s="18"/>
      <c r="E395" s="18"/>
      <c r="F395" s="15" t="str">
        <f aca="false">IF(A395="","",A395+7)</f>
        <v/>
      </c>
      <c r="G395" s="17"/>
      <c r="H395" s="16" t="str">
        <f aca="true">IF(A395="","",IF(G395="✓","🟢 Revisado",IF(TODAY()&gt;=F395,"🟡 Revisar","Aguardando")))</f>
        <v/>
      </c>
    </row>
    <row r="396" customFormat="false" ht="15" hidden="false" customHeight="false" outlineLevel="0" collapsed="false">
      <c r="A396" s="30"/>
      <c r="B396" s="17"/>
      <c r="C396" s="18"/>
      <c r="D396" s="18"/>
      <c r="E396" s="18"/>
      <c r="F396" s="15" t="str">
        <f aca="false">IF(A396="","",A396+7)</f>
        <v/>
      </c>
      <c r="G396" s="17"/>
      <c r="H396" s="16" t="str">
        <f aca="true">IF(A396="","",IF(G396="✓","🟢 Revisado",IF(TODAY()&gt;=F396,"🟡 Revisar","Aguardando")))</f>
        <v/>
      </c>
    </row>
    <row r="397" customFormat="false" ht="15" hidden="false" customHeight="false" outlineLevel="0" collapsed="false">
      <c r="A397" s="30"/>
      <c r="B397" s="17"/>
      <c r="C397" s="18"/>
      <c r="D397" s="18"/>
      <c r="E397" s="18"/>
      <c r="F397" s="15" t="str">
        <f aca="false">IF(A397="","",A397+7)</f>
        <v/>
      </c>
      <c r="G397" s="17"/>
      <c r="H397" s="16" t="str">
        <f aca="true">IF(A397="","",IF(G397="✓","🟢 Revisado",IF(TODAY()&gt;=F397,"🟡 Revisar","Aguardando")))</f>
        <v/>
      </c>
    </row>
    <row r="398" customFormat="false" ht="15" hidden="false" customHeight="false" outlineLevel="0" collapsed="false">
      <c r="A398" s="30"/>
      <c r="B398" s="17"/>
      <c r="C398" s="18"/>
      <c r="D398" s="18"/>
      <c r="E398" s="18"/>
      <c r="F398" s="15" t="str">
        <f aca="false">IF(A398="","",A398+7)</f>
        <v/>
      </c>
      <c r="G398" s="17"/>
      <c r="H398" s="16" t="str">
        <f aca="true">IF(A398="","",IF(G398="✓","🟢 Revisado",IF(TODAY()&gt;=F398,"🟡 Revisar","Aguardando")))</f>
        <v/>
      </c>
    </row>
    <row r="399" customFormat="false" ht="15" hidden="false" customHeight="false" outlineLevel="0" collapsed="false">
      <c r="A399" s="30"/>
      <c r="B399" s="17"/>
      <c r="C399" s="18"/>
      <c r="D399" s="18"/>
      <c r="E399" s="18"/>
      <c r="F399" s="15" t="str">
        <f aca="false">IF(A399="","",A399+7)</f>
        <v/>
      </c>
      <c r="G399" s="17"/>
      <c r="H399" s="16" t="str">
        <f aca="true">IF(A399="","",IF(G399="✓","🟢 Revisado",IF(TODAY()&gt;=F399,"🟡 Revisar","Aguardando")))</f>
        <v/>
      </c>
    </row>
    <row r="400" customFormat="false" ht="15" hidden="false" customHeight="false" outlineLevel="0" collapsed="false">
      <c r="A400" s="30"/>
      <c r="B400" s="17"/>
      <c r="C400" s="18"/>
      <c r="D400" s="18"/>
      <c r="E400" s="18"/>
      <c r="F400" s="15" t="str">
        <f aca="false">IF(A400="","",A400+7)</f>
        <v/>
      </c>
      <c r="G400" s="17"/>
      <c r="H400" s="16" t="str">
        <f aca="true">IF(A400="","",IF(G400="✓","🟢 Revisado",IF(TODAY()&gt;=F400,"🟡 Revisar","Aguardando")))</f>
        <v/>
      </c>
    </row>
    <row r="401" customFormat="false" ht="15" hidden="false" customHeight="false" outlineLevel="0" collapsed="false">
      <c r="A401" s="30"/>
      <c r="B401" s="17"/>
      <c r="C401" s="18"/>
      <c r="D401" s="18"/>
      <c r="E401" s="18"/>
      <c r="F401" s="15" t="str">
        <f aca="false">IF(A401="","",A401+7)</f>
        <v/>
      </c>
      <c r="G401" s="17"/>
      <c r="H401" s="16" t="str">
        <f aca="true">IF(A401="","",IF(G401="✓","🟢 Revisado",IF(TODAY()&gt;=F401,"🟡 Revisar","Aguardando")))</f>
        <v/>
      </c>
    </row>
    <row r="402" customFormat="false" ht="15" hidden="false" customHeight="false" outlineLevel="0" collapsed="false">
      <c r="A402" s="30"/>
      <c r="B402" s="17"/>
      <c r="C402" s="18"/>
      <c r="D402" s="18"/>
      <c r="E402" s="18"/>
      <c r="F402" s="15" t="str">
        <f aca="false">IF(A402="","",A402+7)</f>
        <v/>
      </c>
      <c r="G402" s="17"/>
      <c r="H402" s="16" t="str">
        <f aca="true">IF(A402="","",IF(G402="✓","🟢 Revisado",IF(TODAY()&gt;=F402,"🟡 Revisar","Aguardando")))</f>
        <v/>
      </c>
    </row>
    <row r="403" customFormat="false" ht="15" hidden="false" customHeight="false" outlineLevel="0" collapsed="false">
      <c r="A403" s="30"/>
      <c r="B403" s="17"/>
      <c r="C403" s="18"/>
      <c r="D403" s="18"/>
      <c r="E403" s="18"/>
      <c r="F403" s="15" t="str">
        <f aca="false">IF(A403="","",A403+7)</f>
        <v/>
      </c>
      <c r="G403" s="17"/>
      <c r="H403" s="16" t="str">
        <f aca="true">IF(A403="","",IF(G403="✓","🟢 Revisado",IF(TODAY()&gt;=F403,"🟡 Revisar","Aguardando")))</f>
        <v/>
      </c>
    </row>
    <row r="404" customFormat="false" ht="15" hidden="false" customHeight="false" outlineLevel="0" collapsed="false">
      <c r="A404" s="30"/>
      <c r="B404" s="17"/>
      <c r="C404" s="18"/>
      <c r="D404" s="18"/>
      <c r="E404" s="18"/>
      <c r="F404" s="15" t="str">
        <f aca="false">IF(A404="","",A404+7)</f>
        <v/>
      </c>
      <c r="G404" s="17"/>
      <c r="H404" s="16" t="str">
        <f aca="true">IF(A404="","",IF(G404="✓","🟢 Revisado",IF(TODAY()&gt;=F404,"🟡 Revisar","Aguardando")))</f>
        <v/>
      </c>
    </row>
    <row r="405" customFormat="false" ht="15" hidden="false" customHeight="false" outlineLevel="0" collapsed="false">
      <c r="A405" s="30"/>
      <c r="B405" s="17"/>
      <c r="C405" s="18"/>
      <c r="D405" s="18"/>
      <c r="E405" s="18"/>
      <c r="F405" s="15" t="str">
        <f aca="false">IF(A405="","",A405+7)</f>
        <v/>
      </c>
      <c r="G405" s="17"/>
      <c r="H405" s="16" t="str">
        <f aca="true">IF(A405="","",IF(G405="✓","🟢 Revisado",IF(TODAY()&gt;=F405,"🟡 Revisar","Aguardando")))</f>
        <v/>
      </c>
    </row>
  </sheetData>
  <conditionalFormatting sqref="H6:H405">
    <cfRule type="expression" priority="2" aboveAverage="0" equalAverage="0" bottom="0" percent="0" rank="0" text="" dxfId="2">
      <formula>LEFT(H6,1)="🟡"</formula>
    </cfRule>
    <cfRule type="expression" priority="3" aboveAverage="0" equalAverage="0" bottom="0" percent="0" rank="0" text="" dxfId="1">
      <formula>LEFT(H6,1)="🟢"</formula>
    </cfRule>
  </conditionalFormatting>
  <dataValidations count="2">
    <dataValidation allowBlank="true" errorStyle="stop" operator="between" showDropDown="false" showErrorMessage="false" showInputMessage="false" sqref="G6:G405" type="list">
      <formula1>"✓"</formula1>
      <formula2>0</formula2>
    </dataValidation>
    <dataValidation allowBlank="true" errorStyle="stop" operator="between" showDropDown="false" showErrorMessage="false" showInputMessage="false" sqref="B6:B405" type="list">
      <formula1>"Medicina Legal,Português,Direito"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994A"/>
    <pageSetUpPr fitToPage="true"/>
  </sheetPr>
  <dimension ref="A1:N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5"/>
    <col collapsed="false" customWidth="true" hidden="false" outlineLevel="0" max="6" min="6" style="0" width="11"/>
    <col collapsed="false" customWidth="true" hidden="false" outlineLevel="0" max="7" min="7" style="0" width="5"/>
    <col collapsed="false" customWidth="true" hidden="false" outlineLevel="0" max="8" min="8" style="0" width="10"/>
    <col collapsed="false" customWidth="true" hidden="false" outlineLevel="0" max="9" min="9" style="0" width="5"/>
    <col collapsed="false" customWidth="true" hidden="false" outlineLevel="0" max="12" min="10" style="0" width="8"/>
    <col collapsed="false" customWidth="true" hidden="false" outlineLevel="0" max="13" min="13" style="0" width="9"/>
    <col collapsed="false" customWidth="true" hidden="false" outlineLevel="0" max="14" min="14" style="0" width="44"/>
  </cols>
  <sheetData>
    <row r="1" customFormat="false" ht="27.75" hidden="false" customHeight="true" outlineLevel="0" collapsed="false">
      <c r="A1" s="1" t="s">
        <v>447</v>
      </c>
    </row>
    <row r="2" customFormat="false" ht="15" hidden="false" customHeight="false" outlineLevel="0" collapsed="false">
      <c r="A2" s="2" t="s">
        <v>448</v>
      </c>
    </row>
    <row r="5" customFormat="false" ht="30" hidden="false" customHeight="true" outlineLevel="0" collapsed="false">
      <c r="A5" s="14" t="s">
        <v>166</v>
      </c>
      <c r="B5" s="14" t="s">
        <v>32</v>
      </c>
      <c r="C5" s="14" t="s">
        <v>30</v>
      </c>
      <c r="D5" s="14" t="s">
        <v>449</v>
      </c>
      <c r="E5" s="14" t="s">
        <v>450</v>
      </c>
      <c r="F5" s="14" t="s">
        <v>451</v>
      </c>
      <c r="G5" s="14" t="s">
        <v>450</v>
      </c>
      <c r="H5" s="14" t="s">
        <v>452</v>
      </c>
      <c r="I5" s="14" t="s">
        <v>450</v>
      </c>
      <c r="J5" s="14" t="s">
        <v>453</v>
      </c>
      <c r="K5" s="14" t="s">
        <v>454</v>
      </c>
      <c r="L5" s="14" t="s">
        <v>455</v>
      </c>
      <c r="M5" s="14" t="s">
        <v>456</v>
      </c>
      <c r="N5" s="14" t="s">
        <v>457</v>
      </c>
    </row>
    <row r="6" customFormat="false" ht="15" hidden="false" customHeight="false" outlineLevel="0" collapsed="false">
      <c r="A6" s="6" t="s">
        <v>458</v>
      </c>
      <c r="B6" s="16" t="s">
        <v>155</v>
      </c>
      <c r="C6" s="30"/>
      <c r="D6" s="17"/>
      <c r="E6" s="33" t="n">
        <v>20</v>
      </c>
      <c r="F6" s="17"/>
      <c r="G6" s="33" t="n">
        <v>12</v>
      </c>
      <c r="H6" s="17"/>
      <c r="I6" s="33" t="n">
        <v>8</v>
      </c>
      <c r="J6" s="27" t="str">
        <f aca="false">IF(D6="","",D6/E6)</f>
        <v/>
      </c>
      <c r="K6" s="27" t="str">
        <f aca="false">IF(F6="","",F6/G6)</f>
        <v/>
      </c>
      <c r="L6" s="27" t="str">
        <f aca="false">IF(H6="","",H6/I6)</f>
        <v/>
      </c>
      <c r="M6" s="27" t="str">
        <f aca="false">IF(OR(D6="",F6="",H6=""),"",(D6+F6+H6)/(E6+G6+I6))</f>
        <v/>
      </c>
      <c r="N6" s="6" t="str">
        <f aca="false">IF(M6="","",IF(IF(J6&lt;0.5,"ML ","")&amp;IF(K6&lt;0.5,"Português ","")&amp;IF(L6&lt;0.5,"Direito ","")&lt;&gt;"","🔴 Abaixo de 50% em: "&amp;IF(J6&lt;0.5,"ML ","")&amp;IF(K6&lt;0.5,"Português ","")&amp;IF(L6&lt;0.5,"Direito ",""),IF(M6&gt;=0.7,"🟢 Meta de 70% atingida","🟡 Passa no mínimo; a meta é 70%")))</f>
        <v/>
      </c>
    </row>
    <row r="7" customFormat="false" ht="15" hidden="false" customHeight="false" outlineLevel="0" collapsed="false">
      <c r="A7" s="6" t="s">
        <v>459</v>
      </c>
      <c r="B7" s="16" t="s">
        <v>218</v>
      </c>
      <c r="C7" s="30"/>
      <c r="D7" s="17"/>
      <c r="E7" s="33" t="n">
        <v>50</v>
      </c>
      <c r="F7" s="17"/>
      <c r="G7" s="33" t="n">
        <v>30</v>
      </c>
      <c r="H7" s="17"/>
      <c r="I7" s="33" t="n">
        <v>20</v>
      </c>
      <c r="J7" s="27" t="str">
        <f aca="false">IF(D7="","",D7/E7)</f>
        <v/>
      </c>
      <c r="K7" s="27" t="str">
        <f aca="false">IF(F7="","",F7/G7)</f>
        <v/>
      </c>
      <c r="L7" s="27" t="str">
        <f aca="false">IF(H7="","",H7/I7)</f>
        <v/>
      </c>
      <c r="M7" s="27" t="str">
        <f aca="false">IF(OR(D7="",F7="",H7=""),"",(D7+F7+H7)/(E7+G7+I7))</f>
        <v/>
      </c>
      <c r="N7" s="6" t="str">
        <f aca="false">IF(M7="","",IF(IF(J7&lt;0.5,"ML ","")&amp;IF(K7&lt;0.5,"Português ","")&amp;IF(L7&lt;0.5,"Direito ","")&lt;&gt;"","🔴 Abaixo de 50% em: "&amp;IF(J7&lt;0.5,"ML ","")&amp;IF(K7&lt;0.5,"Português ","")&amp;IF(L7&lt;0.5,"Direito ",""),IF(M7&gt;=0.7,"🟢 Meta de 70% atingida","🟡 Passa no mínimo; a meta é 70%")))</f>
        <v/>
      </c>
    </row>
    <row r="8" customFormat="false" ht="15" hidden="false" customHeight="false" outlineLevel="0" collapsed="false">
      <c r="A8" s="6" t="s">
        <v>460</v>
      </c>
      <c r="B8" s="16" t="s">
        <v>230</v>
      </c>
      <c r="C8" s="30"/>
      <c r="D8" s="17"/>
      <c r="E8" s="33" t="n">
        <v>50</v>
      </c>
      <c r="F8" s="17"/>
      <c r="G8" s="33" t="n">
        <v>30</v>
      </c>
      <c r="H8" s="17"/>
      <c r="I8" s="33" t="n">
        <v>20</v>
      </c>
      <c r="J8" s="27" t="str">
        <f aca="false">IF(D8="","",D8/E8)</f>
        <v/>
      </c>
      <c r="K8" s="27" t="str">
        <f aca="false">IF(F8="","",F8/G8)</f>
        <v/>
      </c>
      <c r="L8" s="27" t="str">
        <f aca="false">IF(H8="","",H8/I8)</f>
        <v/>
      </c>
      <c r="M8" s="27" t="str">
        <f aca="false">IF(OR(D8="",F8="",H8=""),"",(D8+F8+H8)/(E8+G8+I8))</f>
        <v/>
      </c>
      <c r="N8" s="6" t="str">
        <f aca="false">IF(M8="","",IF(IF(J8&lt;0.5,"ML ","")&amp;IF(K8&lt;0.5,"Português ","")&amp;IF(L8&lt;0.5,"Direito ","")&lt;&gt;"","🔴 Abaixo de 50% em: "&amp;IF(J8&lt;0.5,"ML ","")&amp;IF(K8&lt;0.5,"Português ","")&amp;IF(L8&lt;0.5,"Direito ",""),IF(M8&gt;=0.7,"🟢 Meta de 70% atingida","🟡 Passa no mínimo; a meta é 70%")))</f>
        <v/>
      </c>
    </row>
    <row r="9" customFormat="false" ht="15" hidden="false" customHeight="false" outlineLevel="0" collapsed="false">
      <c r="A9" s="6" t="s">
        <v>461</v>
      </c>
      <c r="B9" s="16" t="s">
        <v>238</v>
      </c>
      <c r="C9" s="30"/>
      <c r="D9" s="17"/>
      <c r="E9" s="33" t="n">
        <v>50</v>
      </c>
      <c r="F9" s="17"/>
      <c r="G9" s="33" t="n">
        <v>30</v>
      </c>
      <c r="H9" s="17"/>
      <c r="I9" s="33" t="n">
        <v>20</v>
      </c>
      <c r="J9" s="27" t="str">
        <f aca="false">IF(D9="","",D9/E9)</f>
        <v/>
      </c>
      <c r="K9" s="27" t="str">
        <f aca="false">IF(F9="","",F9/G9)</f>
        <v/>
      </c>
      <c r="L9" s="27" t="str">
        <f aca="false">IF(H9="","",H9/I9)</f>
        <v/>
      </c>
      <c r="M9" s="27" t="str">
        <f aca="false">IF(OR(D9="",F9="",H9=""),"",(D9+F9+H9)/(E9+G9+I9))</f>
        <v/>
      </c>
      <c r="N9" s="6" t="str">
        <f aca="false">IF(M9="","",IF(IF(J9&lt;0.5,"ML ","")&amp;IF(K9&lt;0.5,"Português ","")&amp;IF(L9&lt;0.5,"Direito ","")&lt;&gt;"","🔴 Abaixo de 50% em: "&amp;IF(J9&lt;0.5,"ML ","")&amp;IF(K9&lt;0.5,"Português ","")&amp;IF(L9&lt;0.5,"Direito ",""),IF(M9&gt;=0.7,"🟢 Meta de 70% atingida","🟡 Passa no mínimo; a meta é 70%")))</f>
        <v/>
      </c>
    </row>
    <row r="10" customFormat="false" ht="15" hidden="false" customHeight="false" outlineLevel="0" collapsed="false">
      <c r="A10" s="6" t="s">
        <v>462</v>
      </c>
      <c r="B10" s="16"/>
      <c r="C10" s="30"/>
      <c r="D10" s="17"/>
      <c r="E10" s="33" t="n">
        <v>50</v>
      </c>
      <c r="F10" s="17"/>
      <c r="G10" s="33" t="n">
        <v>30</v>
      </c>
      <c r="H10" s="17"/>
      <c r="I10" s="33" t="n">
        <v>20</v>
      </c>
      <c r="J10" s="27" t="str">
        <f aca="false">IF(D10="","",D10/E10)</f>
        <v/>
      </c>
      <c r="K10" s="27" t="str">
        <f aca="false">IF(F10="","",F10/G10)</f>
        <v/>
      </c>
      <c r="L10" s="27" t="str">
        <f aca="false">IF(H10="","",H10/I10)</f>
        <v/>
      </c>
      <c r="M10" s="27" t="str">
        <f aca="false">IF(OR(D10="",F10="",H10=""),"",(D10+F10+H10)/(E10+G10+I10))</f>
        <v/>
      </c>
      <c r="N10" s="6" t="str">
        <f aca="false">IF(M10="","",IF(IF(J10&lt;0.5,"ML ","")&amp;IF(K10&lt;0.5,"Português ","")&amp;IF(L10&lt;0.5,"Direito ","")&lt;&gt;"","🔴 Abaixo de 50% em: "&amp;IF(J10&lt;0.5,"ML ","")&amp;IF(K10&lt;0.5,"Português ","")&amp;IF(L10&lt;0.5,"Direito ",""),IF(M10&gt;=0.7,"🟢 Meta de 70% atingida","🟡 Passa no mínimo; a meta é 70%")))</f>
        <v/>
      </c>
    </row>
    <row r="11" customFormat="false" ht="15" hidden="false" customHeight="false" outlineLevel="0" collapsed="false">
      <c r="A11" s="6" t="s">
        <v>462</v>
      </c>
      <c r="B11" s="16"/>
      <c r="C11" s="30"/>
      <c r="D11" s="17"/>
      <c r="E11" s="33" t="n">
        <v>50</v>
      </c>
      <c r="F11" s="17"/>
      <c r="G11" s="33" t="n">
        <v>30</v>
      </c>
      <c r="H11" s="17"/>
      <c r="I11" s="33" t="n">
        <v>20</v>
      </c>
      <c r="J11" s="27" t="str">
        <f aca="false">IF(D11="","",D11/E11)</f>
        <v/>
      </c>
      <c r="K11" s="27" t="str">
        <f aca="false">IF(F11="","",F11/G11)</f>
        <v/>
      </c>
      <c r="L11" s="27" t="str">
        <f aca="false">IF(H11="","",H11/I11)</f>
        <v/>
      </c>
      <c r="M11" s="27" t="str">
        <f aca="false">IF(OR(D11="",F11="",H11=""),"",(D11+F11+H11)/(E11+G11+I11))</f>
        <v/>
      </c>
      <c r="N11" s="6" t="str">
        <f aca="false">IF(M11="","",IF(IF(J11&lt;0.5,"ML ","")&amp;IF(K11&lt;0.5,"Português ","")&amp;IF(L11&lt;0.5,"Direito ","")&lt;&gt;"","🔴 Abaixo de 50% em: "&amp;IF(J11&lt;0.5,"ML ","")&amp;IF(K11&lt;0.5,"Português ","")&amp;IF(L11&lt;0.5,"Direito ",""),IF(M11&gt;=0.7,"🟢 Meta de 70% atingida","🟡 Passa no mínimo; a meta é 70%")))</f>
        <v/>
      </c>
    </row>
  </sheetData>
  <conditionalFormatting sqref="N6:N11">
    <cfRule type="expression" priority="2" aboveAverage="0" equalAverage="0" bottom="0" percent="0" rank="0" text="" dxfId="1">
      <formula>LEFT(N6,1)="🟢"</formula>
    </cfRule>
    <cfRule type="expression" priority="3" aboveAverage="0" equalAverage="0" bottom="0" percent="0" rank="0" text="" dxfId="2">
      <formula>LEFT(N6,1)="🟡"</formula>
    </cfRule>
    <cfRule type="expression" priority="4" aboveAverage="0" equalAverage="0" bottom="0" percent="0" rank="0" text="" dxfId="3">
      <formula>LEFT(N6,1)="🔴"</formula>
    </cfRule>
  </conditionalFormatting>
  <dataValidations count="18">
    <dataValidation allowBlank="true" error="Acertos maior que o total de questões." errorStyle="stop" operator="between" showDropDown="false" showErrorMessage="true" showInputMessage="false" sqref="D6" type="custom">
      <formula1>D6&lt;=E6</formula1>
      <formula2>0</formula2>
    </dataValidation>
    <dataValidation allowBlank="true" error="Acertos maior que o total de questões." errorStyle="stop" operator="between" showDropDown="false" showErrorMessage="true" showInputMessage="false" sqref="F6" type="custom">
      <formula1>F6&lt;=G6</formula1>
      <formula2>0</formula2>
    </dataValidation>
    <dataValidation allowBlank="true" error="Acertos maior que o total de questões." errorStyle="stop" operator="between" showDropDown="false" showErrorMessage="true" showInputMessage="false" sqref="H6" type="custom">
      <formula1>H6&lt;=I6</formula1>
      <formula2>0</formula2>
    </dataValidation>
    <dataValidation allowBlank="true" error="Acertos maior que o total de questões." errorStyle="stop" operator="between" showDropDown="false" showErrorMessage="true" showInputMessage="false" sqref="D7" type="custom">
      <formula1>D7&lt;=E7</formula1>
      <formula2>0</formula2>
    </dataValidation>
    <dataValidation allowBlank="true" error="Acertos maior que o total de questões." errorStyle="stop" operator="between" showDropDown="false" showErrorMessage="true" showInputMessage="false" sqref="F7" type="custom">
      <formula1>F7&lt;=G7</formula1>
      <formula2>0</formula2>
    </dataValidation>
    <dataValidation allowBlank="true" error="Acertos maior que o total de questões." errorStyle="stop" operator="between" showDropDown="false" showErrorMessage="true" showInputMessage="false" sqref="H7" type="custom">
      <formula1>H7&lt;=I7</formula1>
      <formula2>0</formula2>
    </dataValidation>
    <dataValidation allowBlank="true" error="Acertos maior que o total de questões." errorStyle="stop" operator="between" showDropDown="false" showErrorMessage="true" showInputMessage="false" sqref="D8" type="custom">
      <formula1>D8&lt;=E8</formula1>
      <formula2>0</formula2>
    </dataValidation>
    <dataValidation allowBlank="true" error="Acertos maior que o total de questões." errorStyle="stop" operator="between" showDropDown="false" showErrorMessage="true" showInputMessage="false" sqref="F8" type="custom">
      <formula1>F8&lt;=G8</formula1>
      <formula2>0</formula2>
    </dataValidation>
    <dataValidation allowBlank="true" error="Acertos maior que o total de questões." errorStyle="stop" operator="between" showDropDown="false" showErrorMessage="true" showInputMessage="false" sqref="H8" type="custom">
      <formula1>H8&lt;=I8</formula1>
      <formula2>0</formula2>
    </dataValidation>
    <dataValidation allowBlank="true" error="Acertos maior que o total de questões." errorStyle="stop" operator="between" showDropDown="false" showErrorMessage="true" showInputMessage="false" sqref="D9" type="custom">
      <formula1>D9&lt;=E9</formula1>
      <formula2>0</formula2>
    </dataValidation>
    <dataValidation allowBlank="true" error="Acertos maior que o total de questões." errorStyle="stop" operator="between" showDropDown="false" showErrorMessage="true" showInputMessage="false" sqref="F9" type="custom">
      <formula1>F9&lt;=G9</formula1>
      <formula2>0</formula2>
    </dataValidation>
    <dataValidation allowBlank="true" error="Acertos maior que o total de questões." errorStyle="stop" operator="between" showDropDown="false" showErrorMessage="true" showInputMessage="false" sqref="H9" type="custom">
      <formula1>H9&lt;=I9</formula1>
      <formula2>0</formula2>
    </dataValidation>
    <dataValidation allowBlank="true" error="Acertos maior que o total de questões." errorStyle="stop" operator="between" showDropDown="false" showErrorMessage="true" showInputMessage="false" sqref="D10" type="custom">
      <formula1>D10&lt;=E10</formula1>
      <formula2>0</formula2>
    </dataValidation>
    <dataValidation allowBlank="true" error="Acertos maior que o total de questões." errorStyle="stop" operator="between" showDropDown="false" showErrorMessage="true" showInputMessage="false" sqref="F10" type="custom">
      <formula1>F10&lt;=G10</formula1>
      <formula2>0</formula2>
    </dataValidation>
    <dataValidation allowBlank="true" error="Acertos maior que o total de questões." errorStyle="stop" operator="between" showDropDown="false" showErrorMessage="true" showInputMessage="false" sqref="H10" type="custom">
      <formula1>H10&lt;=I10</formula1>
      <formula2>0</formula2>
    </dataValidation>
    <dataValidation allowBlank="true" error="Acertos maior que o total de questões." errorStyle="stop" operator="between" showDropDown="false" showErrorMessage="true" showInputMessage="false" sqref="D11" type="custom">
      <formula1>D11&lt;=E11</formula1>
      <formula2>0</formula2>
    </dataValidation>
    <dataValidation allowBlank="true" error="Acertos maior que o total de questões." errorStyle="stop" operator="between" showDropDown="false" showErrorMessage="true" showInputMessage="false" sqref="F11" type="custom">
      <formula1>F11&lt;=G11</formula1>
      <formula2>0</formula2>
    </dataValidation>
    <dataValidation allowBlank="true" error="Acertos maior que o total de questões." errorStyle="stop" operator="between" showDropDown="false" showErrorMessage="true" showInputMessage="false" sqref="H11" type="custom">
      <formula1>H11&lt;=I11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2026-10-26T18:16:33Z</dcterms:created>
  <dc:creator>openpyxl</dc:creator>
  <dc:description/>
  <dc:language>en-US</dc:language>
  <cp:lastModifiedBy/>
  <dcterms:modified xsi:type="dcterms:W3CDTF">2026-10-26T18:16:37Z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